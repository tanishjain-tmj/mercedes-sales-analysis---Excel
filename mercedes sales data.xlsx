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TANISH JAIN\Desktop\"/>
    </mc:Choice>
  </mc:AlternateContent>
  <xr:revisionPtr revIDLastSave="0" documentId="8_{D4654B5B-1148-4A6D-8F54-E5ECF5F55BEC}" xr6:coauthVersionLast="47" xr6:coauthVersionMax="47" xr10:uidLastSave="{00000000-0000-0000-0000-000000000000}"/>
  <bookViews>
    <workbookView xWindow="-108" yWindow="-108" windowWidth="23256" windowHeight="12456" activeTab="4" xr2:uid="{00000000-000D-0000-FFFF-FFFF00000000}"/>
  </bookViews>
  <sheets>
    <sheet name="raw data" sheetId="1" r:id="rId1"/>
    <sheet name="clean dataset" sheetId="2" r:id="rId2"/>
    <sheet name="pivot tables" sheetId="4" r:id="rId3"/>
    <sheet name="advanced formulas" sheetId="6" r:id="rId4"/>
    <sheet name="dashboard " sheetId="10" r:id="rId5"/>
    <sheet name="Report " sheetId="12" r:id="rId6"/>
  </sheets>
  <definedNames>
    <definedName name="Slicer_Model">#N/A</definedName>
    <definedName name="Slicer_State">#N/A</definedName>
    <definedName name="Slicer_State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2" l="1"/>
  <c r="V401"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5" i="2"/>
  <c r="V46" i="2"/>
  <c r="V47" i="2"/>
  <c r="V41" i="2"/>
  <c r="V42" i="2"/>
  <c r="V43" i="2"/>
  <c r="V44" i="2"/>
  <c r="V31" i="2"/>
  <c r="V32" i="2"/>
  <c r="V33" i="2"/>
  <c r="V34" i="2"/>
  <c r="V35" i="2"/>
  <c r="V36" i="2"/>
  <c r="V37" i="2"/>
  <c r="V38" i="2"/>
  <c r="V39" i="2"/>
  <c r="V40" i="2"/>
  <c r="V27" i="2"/>
  <c r="V28" i="2"/>
  <c r="V29" i="2"/>
  <c r="V30" i="2"/>
  <c r="V21" i="2"/>
  <c r="V22" i="2"/>
  <c r="V23" i="2"/>
  <c r="V24" i="2"/>
  <c r="V25" i="2"/>
  <c r="V26" i="2"/>
  <c r="V19" i="2"/>
  <c r="V20" i="2"/>
  <c r="V18" i="2"/>
  <c r="V14" i="2"/>
  <c r="V15" i="2"/>
  <c r="V16" i="2"/>
  <c r="V17" i="2"/>
  <c r="V3" i="2"/>
  <c r="V4" i="2"/>
  <c r="V5" i="2"/>
  <c r="V6" i="2"/>
  <c r="V7" i="2"/>
  <c r="V8" i="2"/>
  <c r="V9" i="2"/>
  <c r="V10" i="2"/>
  <c r="V11" i="2"/>
  <c r="V12" i="2"/>
  <c r="V13" i="2"/>
  <c r="U2"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116" i="2"/>
  <c r="U117" i="2"/>
  <c r="U118" i="2"/>
  <c r="U119" i="2"/>
  <c r="U120" i="2"/>
  <c r="U113" i="2"/>
  <c r="U114" i="2"/>
  <c r="U115" i="2"/>
  <c r="U109" i="2"/>
  <c r="U110" i="2"/>
  <c r="U111" i="2"/>
  <c r="U112" i="2"/>
  <c r="U106" i="2"/>
  <c r="U107" i="2"/>
  <c r="U108" i="2"/>
  <c r="U96" i="2"/>
  <c r="U97" i="2"/>
  <c r="U98" i="2"/>
  <c r="U99" i="2"/>
  <c r="U100" i="2"/>
  <c r="U101" i="2"/>
  <c r="U102" i="2"/>
  <c r="U103" i="2"/>
  <c r="U104" i="2"/>
  <c r="U105" i="2"/>
  <c r="U92" i="2"/>
  <c r="U93" i="2"/>
  <c r="U94" i="2"/>
  <c r="U95" i="2"/>
  <c r="U85" i="2"/>
  <c r="U86" i="2"/>
  <c r="U87" i="2"/>
  <c r="U88" i="2"/>
  <c r="U89" i="2"/>
  <c r="U90" i="2"/>
  <c r="U91" i="2"/>
  <c r="U83" i="2"/>
  <c r="U84" i="2"/>
  <c r="U71" i="2"/>
  <c r="U72" i="2"/>
  <c r="U73" i="2"/>
  <c r="U74" i="2"/>
  <c r="U75" i="2"/>
  <c r="U76" i="2"/>
  <c r="U77" i="2"/>
  <c r="U78" i="2"/>
  <c r="U79" i="2"/>
  <c r="U80" i="2"/>
  <c r="U81" i="2"/>
  <c r="U82" i="2"/>
  <c r="U61" i="2"/>
  <c r="U62" i="2"/>
  <c r="U63" i="2"/>
  <c r="U64" i="2"/>
  <c r="U65" i="2"/>
  <c r="U66" i="2"/>
  <c r="U67" i="2"/>
  <c r="U68" i="2"/>
  <c r="U69" i="2"/>
  <c r="U70" i="2"/>
  <c r="U49" i="2"/>
  <c r="U50" i="2"/>
  <c r="U51" i="2"/>
  <c r="U52" i="2"/>
  <c r="U53" i="2"/>
  <c r="U54" i="2"/>
  <c r="U55" i="2"/>
  <c r="U56" i="2"/>
  <c r="U57" i="2"/>
  <c r="U58" i="2"/>
  <c r="U59" i="2"/>
  <c r="U60" i="2"/>
  <c r="U28" i="2"/>
  <c r="U29" i="2"/>
  <c r="U30" i="2"/>
  <c r="U31" i="2"/>
  <c r="U32" i="2"/>
  <c r="U33" i="2"/>
  <c r="U34" i="2"/>
  <c r="U35" i="2"/>
  <c r="U36" i="2"/>
  <c r="U37" i="2"/>
  <c r="U38" i="2"/>
  <c r="U39" i="2"/>
  <c r="U40" i="2"/>
  <c r="U41" i="2"/>
  <c r="U42" i="2"/>
  <c r="U43" i="2"/>
  <c r="U44" i="2"/>
  <c r="U45" i="2"/>
  <c r="U46" i="2"/>
  <c r="U47" i="2"/>
  <c r="U48" i="2"/>
  <c r="U3" i="2"/>
  <c r="U4" i="2"/>
  <c r="U5" i="2"/>
  <c r="U6" i="2"/>
  <c r="U7" i="2"/>
  <c r="U8" i="2"/>
  <c r="U9" i="2"/>
  <c r="U10" i="2"/>
  <c r="U11" i="2"/>
  <c r="U12" i="2"/>
  <c r="U13" i="2"/>
  <c r="U14" i="2"/>
  <c r="U15" i="2"/>
  <c r="U16" i="2"/>
  <c r="U17" i="2"/>
  <c r="U18" i="2"/>
  <c r="U19" i="2"/>
  <c r="U20" i="2"/>
  <c r="U21" i="2"/>
  <c r="U22" i="2"/>
  <c r="U23" i="2"/>
  <c r="U24" i="2"/>
  <c r="U25" i="2"/>
  <c r="U26" i="2"/>
  <c r="U27" i="2"/>
  <c r="D8" i="6"/>
  <c r="D7" i="6"/>
  <c r="D4" i="6"/>
  <c r="D3" i="6"/>
</calcChain>
</file>

<file path=xl/sharedStrings.xml><?xml version="1.0" encoding="utf-8"?>
<sst xmlns="http://schemas.openxmlformats.org/spreadsheetml/2006/main" count="10875" uniqueCount="454">
  <si>
    <t>Invoice_ID</t>
  </si>
  <si>
    <t>Customer_Name</t>
  </si>
  <si>
    <t>Gender</t>
  </si>
  <si>
    <t>Age</t>
  </si>
  <si>
    <t>Model</t>
  </si>
  <si>
    <t>Fuel_Type</t>
  </si>
  <si>
    <t>City</t>
  </si>
  <si>
    <t>State</t>
  </si>
  <si>
    <t>Salesperson</t>
  </si>
  <si>
    <t>Branch</t>
  </si>
  <si>
    <t>Sale_Date</t>
  </si>
  <si>
    <t>Payment_Mode</t>
  </si>
  <si>
    <t>Bank_Name</t>
  </si>
  <si>
    <t>Loan_Approved</t>
  </si>
  <si>
    <t>Warranty_Years</t>
  </si>
  <si>
    <t>Insurance_Provider</t>
  </si>
  <si>
    <t>Delivery_Days</t>
  </si>
  <si>
    <t>Discount_INR</t>
  </si>
  <si>
    <t>Tax_INR</t>
  </si>
  <si>
    <t>Final_Amount_INR</t>
  </si>
  <si>
    <t>Suresh Nair</t>
  </si>
  <si>
    <t>Male</t>
  </si>
  <si>
    <t>GLA</t>
  </si>
  <si>
    <t>Electric</t>
  </si>
  <si>
    <t>Vadodara</t>
  </si>
  <si>
    <t>Gujarat</t>
  </si>
  <si>
    <t>Kunal Mehta</t>
  </si>
  <si>
    <t>City Mall Branch</t>
  </si>
  <si>
    <t>2023-10-08</t>
  </si>
  <si>
    <t>Debit Card</t>
  </si>
  <si>
    <t>ICICI Bank</t>
  </si>
  <si>
    <t>Yes</t>
  </si>
  <si>
    <t>HDFC Ergo</t>
  </si>
  <si>
    <t>Rahul Sharma</t>
  </si>
  <si>
    <t>Female</t>
  </si>
  <si>
    <t>AMG C43</t>
  </si>
  <si>
    <t>Diesel</t>
  </si>
  <si>
    <t>Jaipur</t>
  </si>
  <si>
    <t>Rajasthan</t>
  </si>
  <si>
    <t>Suresh Iyer</t>
  </si>
  <si>
    <t>Highway Branch</t>
  </si>
  <si>
    <t>2024-11-30</t>
  </si>
  <si>
    <t>UPI</t>
  </si>
  <si>
    <t>SBI</t>
  </si>
  <si>
    <t>Bajaj Allianz</t>
  </si>
  <si>
    <t>Vikas Joshi</t>
  </si>
  <si>
    <t>AMG G63</t>
  </si>
  <si>
    <t>Surat</t>
  </si>
  <si>
    <t>Rohit Singh</t>
  </si>
  <si>
    <t>Central Showroom</t>
  </si>
  <si>
    <t>2024-04-03</t>
  </si>
  <si>
    <t>Axis Bank</t>
  </si>
  <si>
    <t>No</t>
  </si>
  <si>
    <t>ICICI Lombard</t>
  </si>
  <si>
    <t>Pooja Malhotra</t>
  </si>
  <si>
    <t>Petrol</t>
  </si>
  <si>
    <t>Hyderabad</t>
  </si>
  <si>
    <t>Telangana</t>
  </si>
  <si>
    <t>2024-04-05</t>
  </si>
  <si>
    <t>Bank Loan</t>
  </si>
  <si>
    <t>Riya Kapoor</t>
  </si>
  <si>
    <t>S-Class</t>
  </si>
  <si>
    <t>Hybrid</t>
  </si>
  <si>
    <t>Chennai</t>
  </si>
  <si>
    <t>Tamil Nadu</t>
  </si>
  <si>
    <t>2024-06-08</t>
  </si>
  <si>
    <t>Cash</t>
  </si>
  <si>
    <t>Mohit Gupta</t>
  </si>
  <si>
    <t>GLB</t>
  </si>
  <si>
    <t>Delhi</t>
  </si>
  <si>
    <t>2023-01-16</t>
  </si>
  <si>
    <t>Credit Card</t>
  </si>
  <si>
    <t>Priya Shah</t>
  </si>
  <si>
    <t>E-Class</t>
  </si>
  <si>
    <t>Bangalore</t>
  </si>
  <si>
    <t>Karnataka</t>
  </si>
  <si>
    <t>Amit Patel</t>
  </si>
  <si>
    <t>2023-03-30</t>
  </si>
  <si>
    <t>HDFC Bank</t>
  </si>
  <si>
    <t>Nitin Agarwal</t>
  </si>
  <si>
    <t>2024-06-28</t>
  </si>
  <si>
    <t>Sneha Desai</t>
  </si>
  <si>
    <t>GLC</t>
  </si>
  <si>
    <t>2023-08-02</t>
  </si>
  <si>
    <t>2023-06-20</t>
  </si>
  <si>
    <t>2023-08-19</t>
  </si>
  <si>
    <t>Tata AIG</t>
  </si>
  <si>
    <t>Premium Lounge</t>
  </si>
  <si>
    <t>2024-09-21</t>
  </si>
  <si>
    <t>2024-03-01</t>
  </si>
  <si>
    <t>A-Class</t>
  </si>
  <si>
    <t>Ahmedabad</t>
  </si>
  <si>
    <t>2024-06-30</t>
  </si>
  <si>
    <t>2023-09-18</t>
  </si>
  <si>
    <t>Kotak Bank</t>
  </si>
  <si>
    <t>Harsh Patel</t>
  </si>
  <si>
    <t>2024-06-11</t>
  </si>
  <si>
    <t>Vivek Sharma</t>
  </si>
  <si>
    <t>2023-12-02</t>
  </si>
  <si>
    <t>Ankit Mehta</t>
  </si>
  <si>
    <t>2023-06-25</t>
  </si>
  <si>
    <t>Rohit Kumar</t>
  </si>
  <si>
    <t>2023-12-23</t>
  </si>
  <si>
    <t>2024-05-04</t>
  </si>
  <si>
    <t>Aman Jain</t>
  </si>
  <si>
    <t>Mumbai</t>
  </si>
  <si>
    <t>Maharashtra</t>
  </si>
  <si>
    <t>2023-07-19</t>
  </si>
  <si>
    <t>Kavita Shah</t>
  </si>
  <si>
    <t>2024-11-02</t>
  </si>
  <si>
    <t>2023-10-11</t>
  </si>
  <si>
    <t>2024-04-13</t>
  </si>
  <si>
    <t>C-Class</t>
  </si>
  <si>
    <t>2025-01-31</t>
  </si>
  <si>
    <t>Neha Verma</t>
  </si>
  <si>
    <t>Pune</t>
  </si>
  <si>
    <t>2024-02-18</t>
  </si>
  <si>
    <t>2025-05-20</t>
  </si>
  <si>
    <t>GLE</t>
  </si>
  <si>
    <t>2025-02-20</t>
  </si>
  <si>
    <t>2025-04-27</t>
  </si>
  <si>
    <t>2023-01-23</t>
  </si>
  <si>
    <t>2023-03-20</t>
  </si>
  <si>
    <t>2024-09-18</t>
  </si>
  <si>
    <t>2025-03-20</t>
  </si>
  <si>
    <t>2023-02-11</t>
  </si>
  <si>
    <t>2024-08-19</t>
  </si>
  <si>
    <t>2023-11-04</t>
  </si>
  <si>
    <t>2024-01-11</t>
  </si>
  <si>
    <t>2025-04-30</t>
  </si>
  <si>
    <t>2025-03-10</t>
  </si>
  <si>
    <t>2024-09-04</t>
  </si>
  <si>
    <t>2024-04-15</t>
  </si>
  <si>
    <t>2023-07-09</t>
  </si>
  <si>
    <t>2024-10-17</t>
  </si>
  <si>
    <t>2024-11-18</t>
  </si>
  <si>
    <t>2023-11-15</t>
  </si>
  <si>
    <t>2025-05-24</t>
  </si>
  <si>
    <t>2024-05-22</t>
  </si>
  <si>
    <t>2024-05-19</t>
  </si>
  <si>
    <t>2024-07-28</t>
  </si>
  <si>
    <t>2025-06-15</t>
  </si>
  <si>
    <t>2025-03-15</t>
  </si>
  <si>
    <t>2024-12-13</t>
  </si>
  <si>
    <t>2024-12-21</t>
  </si>
  <si>
    <t>2025-03-31</t>
  </si>
  <si>
    <t>2024-06-22</t>
  </si>
  <si>
    <t>2023-04-21</t>
  </si>
  <si>
    <t>2024-07-30</t>
  </si>
  <si>
    <t>2024-01-22</t>
  </si>
  <si>
    <t>2025-05-29</t>
  </si>
  <si>
    <t>2024-09-14</t>
  </si>
  <si>
    <t>2023-11-12</t>
  </si>
  <si>
    <t>2025-03-05</t>
  </si>
  <si>
    <t>2024-06-09</t>
  </si>
  <si>
    <t>2025-04-23</t>
  </si>
  <si>
    <t>2025-03-14</t>
  </si>
  <si>
    <t>2024-01-27</t>
  </si>
  <si>
    <t>2023-06-18</t>
  </si>
  <si>
    <t>2024-06-26</t>
  </si>
  <si>
    <t>2025-04-11</t>
  </si>
  <si>
    <t>2023-12-17</t>
  </si>
  <si>
    <t>2025-01-06</t>
  </si>
  <si>
    <t>2024-06-15</t>
  </si>
  <si>
    <t>2024-09-30</t>
  </si>
  <si>
    <t>2023-09-15</t>
  </si>
  <si>
    <t>2024-04-19</t>
  </si>
  <si>
    <t>2023-04-08</t>
  </si>
  <si>
    <t>2023-10-31</t>
  </si>
  <si>
    <t>2024-07-13</t>
  </si>
  <si>
    <t>2024-11-08</t>
  </si>
  <si>
    <t>2023-07-03</t>
  </si>
  <si>
    <t>2023-06-01</t>
  </si>
  <si>
    <t>2023-01-31</t>
  </si>
  <si>
    <t>2023-11-07</t>
  </si>
  <si>
    <t>2024-10-12</t>
  </si>
  <si>
    <t>2023-02-10</t>
  </si>
  <si>
    <t>2024-12-26</t>
  </si>
  <si>
    <t>2024-03-07</t>
  </si>
  <si>
    <t>2025-03-13</t>
  </si>
  <si>
    <t>2023-12-26</t>
  </si>
  <si>
    <t>2024-10-02</t>
  </si>
  <si>
    <t>2023-02-24</t>
  </si>
  <si>
    <t>2023-10-01</t>
  </si>
  <si>
    <t>2024-12-16</t>
  </si>
  <si>
    <t>2023-08-01</t>
  </si>
  <si>
    <t>2025-06-06</t>
  </si>
  <si>
    <t>2023-03-07</t>
  </si>
  <si>
    <t>2024-04-26</t>
  </si>
  <si>
    <t>2025-01-24</t>
  </si>
  <si>
    <t>2023-02-21</t>
  </si>
  <si>
    <t>2023-10-17</t>
  </si>
  <si>
    <t>2025-06-17</t>
  </si>
  <si>
    <t>2023-08-14</t>
  </si>
  <si>
    <t>2023-04-17</t>
  </si>
  <si>
    <t>2023-07-25</t>
  </si>
  <si>
    <t>2023-12-15</t>
  </si>
  <si>
    <t>2025-05-25</t>
  </si>
  <si>
    <t>2023-10-20</t>
  </si>
  <si>
    <t>2023-12-05</t>
  </si>
  <si>
    <t>2023-02-01</t>
  </si>
  <si>
    <t>2023-08-28</t>
  </si>
  <si>
    <t>2024-09-17</t>
  </si>
  <si>
    <t>2023-08-22</t>
  </si>
  <si>
    <t>2023-09-25</t>
  </si>
  <si>
    <t>2023-01-01</t>
  </si>
  <si>
    <t>2024-04-01</t>
  </si>
  <si>
    <t>2023-03-04</t>
  </si>
  <si>
    <t>2023-02-14</t>
  </si>
  <si>
    <t>2024-03-24</t>
  </si>
  <si>
    <t>2024-12-10</t>
  </si>
  <si>
    <t>2025-03-21</t>
  </si>
  <si>
    <t>2023-06-14</t>
  </si>
  <si>
    <t>2025-05-08</t>
  </si>
  <si>
    <t>2024-05-20</t>
  </si>
  <si>
    <t>2024-01-10</t>
  </si>
  <si>
    <t>2025-04-04</t>
  </si>
  <si>
    <t>2024-02-08</t>
  </si>
  <si>
    <t>2023-02-12</t>
  </si>
  <si>
    <t>2023-10-19</t>
  </si>
  <si>
    <t>2023-05-27</t>
  </si>
  <si>
    <t>2023-06-11</t>
  </si>
  <si>
    <t>2023-11-16</t>
  </si>
  <si>
    <t>2025-03-02</t>
  </si>
  <si>
    <t>2023-05-25</t>
  </si>
  <si>
    <t>2023-05-23</t>
  </si>
  <si>
    <t>2023-03-12</t>
  </si>
  <si>
    <t>2024-06-12</t>
  </si>
  <si>
    <t>2023-11-14</t>
  </si>
  <si>
    <t>2024-03-30</t>
  </si>
  <si>
    <t>2023-12-07</t>
  </si>
  <si>
    <t>2025-01-28</t>
  </si>
  <si>
    <t>2024-01-28</t>
  </si>
  <si>
    <t>2024-10-11</t>
  </si>
  <si>
    <t>2023-02-28</t>
  </si>
  <si>
    <t>2023-05-20</t>
  </si>
  <si>
    <t>2023-08-26</t>
  </si>
  <si>
    <t>2023-07-26</t>
  </si>
  <si>
    <t>2024-05-28</t>
  </si>
  <si>
    <t>2023-11-11</t>
  </si>
  <si>
    <t>2025-06-09</t>
  </si>
  <si>
    <t>2023-05-28</t>
  </si>
  <si>
    <t>2023-10-05</t>
  </si>
  <si>
    <t>2025-06-08</t>
  </si>
  <si>
    <t>2023-04-14</t>
  </si>
  <si>
    <t>2024-01-26</t>
  </si>
  <si>
    <t>2025-03-22</t>
  </si>
  <si>
    <t>2024-02-14</t>
  </si>
  <si>
    <t>2024-09-16</t>
  </si>
  <si>
    <t>2025-04-08</t>
  </si>
  <si>
    <t>2023-01-14</t>
  </si>
  <si>
    <t>2023-07-01</t>
  </si>
  <si>
    <t>2024-05-26</t>
  </si>
  <si>
    <t>2025-06-16</t>
  </si>
  <si>
    <t>2023-02-27</t>
  </si>
  <si>
    <t>2023-10-15</t>
  </si>
  <si>
    <t>2024-10-05</t>
  </si>
  <si>
    <t>2024-09-10</t>
  </si>
  <si>
    <t>2023-05-07</t>
  </si>
  <si>
    <t>2023-12-09</t>
  </si>
  <si>
    <t>2024-06-04</t>
  </si>
  <si>
    <t>2025-04-05</t>
  </si>
  <si>
    <t>2024-12-24</t>
  </si>
  <si>
    <t>2023-10-07</t>
  </si>
  <si>
    <t>2025-05-28</t>
  </si>
  <si>
    <t>2024-08-17</t>
  </si>
  <si>
    <t>2023-01-29</t>
  </si>
  <si>
    <t>2023-09-28</t>
  </si>
  <si>
    <t>2025-04-07</t>
  </si>
  <si>
    <t>2025-06-10</t>
  </si>
  <si>
    <t>2023-11-27</t>
  </si>
  <si>
    <t>2025-02-08</t>
  </si>
  <si>
    <t>2024-12-14</t>
  </si>
  <si>
    <t>2024-04-06</t>
  </si>
  <si>
    <t>2023-08-04</t>
  </si>
  <si>
    <t>2024-03-25</t>
  </si>
  <si>
    <t>2024-01-05</t>
  </si>
  <si>
    <t>2023-07-21</t>
  </si>
  <si>
    <t>2023-07-28</t>
  </si>
  <si>
    <t>2024-07-17</t>
  </si>
  <si>
    <t>2023-07-12</t>
  </si>
  <si>
    <t>2023-07-20</t>
  </si>
  <si>
    <t>2025-05-01</t>
  </si>
  <si>
    <t>2024-06-25</t>
  </si>
  <si>
    <t>2024-03-29</t>
  </si>
  <si>
    <t>2023-05-03</t>
  </si>
  <si>
    <t>2024-04-09</t>
  </si>
  <si>
    <t>2025-05-11</t>
  </si>
  <si>
    <t>2024-04-14</t>
  </si>
  <si>
    <t>2024-06-24</t>
  </si>
  <si>
    <t>2023-09-29</t>
  </si>
  <si>
    <t>2023-08-16</t>
  </si>
  <si>
    <t>2023-07-06</t>
  </si>
  <si>
    <t>2023-03-14</t>
  </si>
  <si>
    <t>2025-06-13</t>
  </si>
  <si>
    <t>2025-04-28</t>
  </si>
  <si>
    <t>2023-01-07</t>
  </si>
  <si>
    <t>2023-04-24</t>
  </si>
  <si>
    <t>2023-11-08</t>
  </si>
  <si>
    <t>2025-01-09</t>
  </si>
  <si>
    <t>2024-08-03</t>
  </si>
  <si>
    <t>2023-04-20</t>
  </si>
  <si>
    <t>2024-10-28</t>
  </si>
  <si>
    <t>2024-02-06</t>
  </si>
  <si>
    <t>2023-02-04</t>
  </si>
  <si>
    <t>2025-05-19</t>
  </si>
  <si>
    <t>2025-02-21</t>
  </si>
  <si>
    <t>2025-02-01</t>
  </si>
  <si>
    <t>2023-01-27</t>
  </si>
  <si>
    <t>2025-05-23</t>
  </si>
  <si>
    <t>2024-07-22</t>
  </si>
  <si>
    <t>2023-03-03</t>
  </si>
  <si>
    <t>2023-02-20</t>
  </si>
  <si>
    <t>2024-09-29</t>
  </si>
  <si>
    <t>2024-01-01</t>
  </si>
  <si>
    <t>2025-05-05</t>
  </si>
  <si>
    <t>2024-08-22</t>
  </si>
  <si>
    <t>2023-04-19</t>
  </si>
  <si>
    <t>2023-12-16</t>
  </si>
  <si>
    <t>2024-08-04</t>
  </si>
  <si>
    <t>2025-03-23</t>
  </si>
  <si>
    <t>2023-01-18</t>
  </si>
  <si>
    <t>2024-01-19</t>
  </si>
  <si>
    <t>2023-12-29</t>
  </si>
  <si>
    <t>2023-05-05</t>
  </si>
  <si>
    <t>2024-03-21</t>
  </si>
  <si>
    <t>2023-06-06</t>
  </si>
  <si>
    <t>2023-11-17</t>
  </si>
  <si>
    <t>2025-05-31</t>
  </si>
  <si>
    <t>2023-08-09</t>
  </si>
  <si>
    <t>2023-08-18</t>
  </si>
  <si>
    <t>2023-05-26</t>
  </si>
  <si>
    <t>2023-05-09</t>
  </si>
  <si>
    <t>2023-03-08</t>
  </si>
  <si>
    <t>2023-03-01</t>
  </si>
  <si>
    <t>2024-08-12</t>
  </si>
  <si>
    <t>2023-12-27</t>
  </si>
  <si>
    <t>2023-02-13</t>
  </si>
  <si>
    <t>2024-11-14</t>
  </si>
  <si>
    <t>2023-11-03</t>
  </si>
  <si>
    <t>2023-03-29</t>
  </si>
  <si>
    <t>2025-01-11</t>
  </si>
  <si>
    <t>2023-05-13</t>
  </si>
  <si>
    <t>2023-01-15</t>
  </si>
  <si>
    <t>2025-01-03</t>
  </si>
  <si>
    <t>2023-03-26</t>
  </si>
  <si>
    <t>2024-04-08</t>
  </si>
  <si>
    <t>2023-03-09</t>
  </si>
  <si>
    <t>2024-10-13</t>
  </si>
  <si>
    <t>2024-10-30</t>
  </si>
  <si>
    <t>2025-02-13</t>
  </si>
  <si>
    <t>2024-03-11</t>
  </si>
  <si>
    <t>2025-03-16</t>
  </si>
  <si>
    <t>2024-11-09</t>
  </si>
  <si>
    <t>2024-06-10</t>
  </si>
  <si>
    <t>2023-07-18</t>
  </si>
  <si>
    <t>2023-03-28</t>
  </si>
  <si>
    <t>2025-04-20</t>
  </si>
  <si>
    <t>2024-11-07</t>
  </si>
  <si>
    <t>2023-09-22</t>
  </si>
  <si>
    <t>2023-03-25</t>
  </si>
  <si>
    <t>2025-01-18</t>
  </si>
  <si>
    <t>2024-02-07</t>
  </si>
  <si>
    <t>2024-03-23</t>
  </si>
  <si>
    <t>2024-09-07</t>
  </si>
  <si>
    <t>2024-06-19</t>
  </si>
  <si>
    <t>2025-01-14</t>
  </si>
  <si>
    <t>2024-07-21</t>
  </si>
  <si>
    <t>2024-01-03</t>
  </si>
  <si>
    <t>2023-07-07</t>
  </si>
  <si>
    <t>2024-03-28</t>
  </si>
  <si>
    <t>2023-11-23</t>
  </si>
  <si>
    <t>2023-04-01</t>
  </si>
  <si>
    <t>2023-05-15</t>
  </si>
  <si>
    <t>2023-09-08</t>
  </si>
  <si>
    <t>2024-04-11</t>
  </si>
  <si>
    <t>2024-04-25</t>
  </si>
  <si>
    <t>2023-07-17</t>
  </si>
  <si>
    <t>2025-03-17</t>
  </si>
  <si>
    <t>2023-05-24</t>
  </si>
  <si>
    <t>2024-06-07</t>
  </si>
  <si>
    <t>2023-05-11</t>
  </si>
  <si>
    <t>2023-01-26</t>
  </si>
  <si>
    <t>2025-06-18</t>
  </si>
  <si>
    <t>2024-03-19</t>
  </si>
  <si>
    <t>2023-09-19</t>
  </si>
  <si>
    <t>2024-02-17</t>
  </si>
  <si>
    <t>2023-05-17</t>
  </si>
  <si>
    <t>2024-11-26</t>
  </si>
  <si>
    <t>2024-08-10</t>
  </si>
  <si>
    <t>2024-05-14</t>
  </si>
  <si>
    <t>2023-11-30</t>
  </si>
  <si>
    <t>2025-02-16</t>
  </si>
  <si>
    <t>2024-09-05</t>
  </si>
  <si>
    <t>2024-08-13</t>
  </si>
  <si>
    <t>2024-12-23</t>
  </si>
  <si>
    <t>2023-04-28</t>
  </si>
  <si>
    <t>2024-08-09</t>
  </si>
  <si>
    <t>2024-07-23</t>
  </si>
  <si>
    <t>2023-06-07</t>
  </si>
  <si>
    <t>2025-05-14</t>
  </si>
  <si>
    <t>2024-08-26</t>
  </si>
  <si>
    <t>2025-02-12</t>
  </si>
  <si>
    <t>2024-06-18</t>
  </si>
  <si>
    <t>2023-04-02</t>
  </si>
  <si>
    <t>2024-10-19</t>
  </si>
  <si>
    <t>2025-02-14</t>
  </si>
  <si>
    <t>2024-02-24</t>
  </si>
  <si>
    <t>2024-02-25</t>
  </si>
  <si>
    <t>2025-04-01</t>
  </si>
  <si>
    <t>2023-11-13</t>
  </si>
  <si>
    <t>2024-12-19</t>
  </si>
  <si>
    <t>2024-08-27</t>
  </si>
  <si>
    <t>Row Labels</t>
  </si>
  <si>
    <t>(blank)</t>
  </si>
  <si>
    <t>Grand Total</t>
  </si>
  <si>
    <t>Column Labels</t>
  </si>
  <si>
    <t>Count of Model</t>
  </si>
  <si>
    <t>Count of Fuel_Type</t>
  </si>
  <si>
    <t>Count of Bank_Name</t>
  </si>
  <si>
    <t>Count of City</t>
  </si>
  <si>
    <t>Count of Final_Amount_INR</t>
  </si>
  <si>
    <t>This pivot table shows the information</t>
  </si>
  <si>
    <t>About the age and gender of the customers:</t>
  </si>
  <si>
    <t>This pivot table gives info. About the model of cars sold in respective states:</t>
  </si>
  <si>
    <t>This pivot table gives info. About the sales of respective saleman in all states:</t>
  </si>
  <si>
    <t>This pivot table gives info. About the type of payment in respective states:</t>
  </si>
  <si>
    <t>This pivot table gives info. About the preference of fuel type of customer acc. To there age :</t>
  </si>
  <si>
    <t>This pivot table gives the info. About the bank and insurance provider:</t>
  </si>
  <si>
    <t>This pivot table gives info. About the model of car and its delivery days(duration after car booking):</t>
  </si>
  <si>
    <t>This pivot table gives info about the price of car and the taxation acc. To its price:</t>
  </si>
  <si>
    <t>vlookup:</t>
  </si>
  <si>
    <t>lets find the customer name acc. To its invoice_id</t>
  </si>
  <si>
    <t>a.</t>
  </si>
  <si>
    <t>customer name of invoice_id = 1005</t>
  </si>
  <si>
    <t xml:space="preserve">b. </t>
  </si>
  <si>
    <t>customer name of invoice_id=1224</t>
  </si>
  <si>
    <t>index-match:</t>
  </si>
  <si>
    <t>b.</t>
  </si>
  <si>
    <t>customer car model from his name</t>
  </si>
  <si>
    <t>if condition:</t>
  </si>
  <si>
    <t>added in clean dataset</t>
  </si>
  <si>
    <t>performance car</t>
  </si>
  <si>
    <t>IF(OR(E2="AMG C43",E2="AMG G63"),"yes","no")</t>
  </si>
  <si>
    <t>adding a performance car row :</t>
  </si>
  <si>
    <t>nested condition:</t>
  </si>
  <si>
    <t>customer category</t>
  </si>
  <si>
    <t>IF(T2&gt;=20000000,"ultra premium",IF(T2&gt;=10000000,"premium",IF(T2&gt;=4500000,"standard","budget")))</t>
  </si>
  <si>
    <t>added a customer category row:</t>
  </si>
  <si>
    <t xml:space="preserve">Amount_INR of sales </t>
  </si>
  <si>
    <t>standard</t>
  </si>
  <si>
    <t>premium</t>
  </si>
  <si>
    <t>ultra premium</t>
  </si>
  <si>
    <t>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</si>
</sst>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quot;$&quot;#,##0.00"/>
    <numFmt numFmtId="166" formatCode="_ [$Rs.-4009]\ * #,##0.00_ ;_ [$Rs.-4009]\ * \-#,##0.00_ ;_ [$Rs.-4009]\ * &quot;-&quot;??_ ;_ @_ "/>
  </numFmts>
  <fonts count="5" x14ac:knownFonts="1">
    <font>
      <sz val="11"/>
      <color theme="1"/>
      <name val="Calibri"/>
      <family val="2"/>
      <scheme val="minor"/>
    </font>
    <font>
      <b/>
      <sz val="11"/>
      <color theme="1"/>
      <name val="Calibri"/>
      <family val="2"/>
      <scheme val="minor"/>
    </font>
    <font>
      <b/>
      <sz val="12"/>
      <color theme="1"/>
      <name val="Calibri"/>
      <family val="2"/>
      <scheme val="minor"/>
    </font>
    <font>
      <b/>
      <sz val="10"/>
      <color theme="1"/>
      <name val="Calibri"/>
      <family val="2"/>
      <scheme val="minor"/>
    </font>
    <font>
      <sz val="11"/>
      <color theme="1"/>
      <name val="Calibri"/>
      <family val="2"/>
      <scheme val="minor"/>
    </font>
  </fonts>
  <fills count="2">
    <fill>
      <patternFill patternType="none"/>
    </fill>
    <fill>
      <patternFill patternType="gray125"/>
    </fill>
  </fills>
  <borders count="10">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2">
    <xf numFmtId="0" fontId="0" fillId="0" borderId="0"/>
    <xf numFmtId="164" fontId="4" fillId="0" borderId="0" applyFont="0" applyFill="0" applyBorder="0" applyAlignment="0" applyProtection="0"/>
  </cellStyleXfs>
  <cellXfs count="23">
    <xf numFmtId="0" fontId="0" fillId="0" borderId="0" xfId="0"/>
    <xf numFmtId="165" fontId="0" fillId="0" borderId="0" xfId="0" applyNumberFormat="1"/>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6" fontId="0" fillId="0" borderId="0" xfId="0" applyNumberFormat="1"/>
    <xf numFmtId="166" fontId="0" fillId="0" borderId="0" xfId="1" applyNumberFormat="1" applyFont="1"/>
    <xf numFmtId="0" fontId="2" fillId="0" borderId="0" xfId="0" applyFont="1" applyAlignment="1">
      <alignment horizontal="center"/>
    </xf>
    <xf numFmtId="0" fontId="0" fillId="0" borderId="0" xfId="0" applyAlignment="1">
      <alignment horizontal="center"/>
    </xf>
    <xf numFmtId="0" fontId="1" fillId="0" borderId="0" xfId="0" applyFont="1"/>
    <xf numFmtId="0" fontId="0" fillId="0" borderId="0" xfId="0"/>
    <xf numFmtId="0" fontId="3" fillId="0" borderId="0" xfId="0" applyFont="1" applyAlignment="1">
      <alignment horizontal="center"/>
    </xf>
    <xf numFmtId="0" fontId="0" fillId="0" borderId="0" xfId="0" applyNumberFormat="1"/>
  </cellXfs>
  <cellStyles count="2">
    <cellStyle name="Currency" xfId="1" builtinId="4"/>
    <cellStyle name="Normal"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[mercedes sales data.xlsx]pivot tables!PivotTable9</c:name>
    <c:fmtId val="6"/>
  </c:pivotSource>
  <c:chart>
    <c:title>
      <c:tx>
        <c:rich>
          <a:bodyPr/>
          <a:lstStyle/>
          <a:p>
            <a:pPr>
              <a:defRPr/>
            </a:pPr>
            <a:r>
              <a:rPr lang="en-US"/>
              <a:t> Model</a:t>
            </a:r>
            <a:r>
              <a:rPr lang="en-US" baseline="0"/>
              <a:t> preference acc. to state</a:t>
            </a:r>
          </a:p>
        </c:rich>
      </c:tx>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pivotFmt>
    </c:pivotFmts>
    <c:plotArea>
      <c:layout>
        <c:manualLayout>
          <c:layoutTarget val="inner"/>
          <c:xMode val="edge"/>
          <c:yMode val="edge"/>
          <c:x val="7.1988407699037624E-2"/>
          <c:y val="0.16820761358139352"/>
          <c:w val="0.68374868766404195"/>
          <c:h val="0.51794269727854225"/>
        </c:manualLayout>
      </c:layout>
      <c:barChart>
        <c:barDir val="col"/>
        <c:grouping val="clustered"/>
        <c:varyColors val="0"/>
        <c:ser>
          <c:idx val="0"/>
          <c:order val="0"/>
          <c:tx>
            <c:strRef>
              <c:f>'pivot tables'!$J$81:$J$82</c:f>
              <c:strCache>
                <c:ptCount val="1"/>
                <c:pt idx="0">
                  <c:v>Delhi</c:v>
                </c:pt>
              </c:strCache>
            </c:strRef>
          </c:tx>
          <c:invertIfNegative val="0"/>
          <c:cat>
            <c:strRef>
              <c:f>'pivot tables'!$I$83:$I$93</c:f>
              <c:strCache>
                <c:ptCount val="10"/>
                <c:pt idx="0">
                  <c:v>A-Class</c:v>
                </c:pt>
                <c:pt idx="1">
                  <c:v>AMG C43</c:v>
                </c:pt>
                <c:pt idx="2">
                  <c:v>AMG G63</c:v>
                </c:pt>
                <c:pt idx="3">
                  <c:v>C-Class</c:v>
                </c:pt>
                <c:pt idx="4">
                  <c:v>E-Class</c:v>
                </c:pt>
                <c:pt idx="5">
                  <c:v>GLA</c:v>
                </c:pt>
                <c:pt idx="6">
                  <c:v>GLB</c:v>
                </c:pt>
                <c:pt idx="7">
                  <c:v>GLC</c:v>
                </c:pt>
                <c:pt idx="8">
                  <c:v>GLE</c:v>
                </c:pt>
                <c:pt idx="9">
                  <c:v>S-Class</c:v>
                </c:pt>
              </c:strCache>
            </c:strRef>
          </c:cat>
          <c:val>
            <c:numRef>
              <c:f>'pivot tables'!$J$83:$J$93</c:f>
              <c:numCache>
                <c:formatCode>General</c:formatCode>
                <c:ptCount val="10"/>
                <c:pt idx="0">
                  <c:v>6</c:v>
                </c:pt>
                <c:pt idx="1">
                  <c:v>3</c:v>
                </c:pt>
                <c:pt idx="2">
                  <c:v>4</c:v>
                </c:pt>
                <c:pt idx="3">
                  <c:v>6</c:v>
                </c:pt>
                <c:pt idx="4">
                  <c:v>4</c:v>
                </c:pt>
                <c:pt idx="5">
                  <c:v>3</c:v>
                </c:pt>
                <c:pt idx="6">
                  <c:v>3</c:v>
                </c:pt>
                <c:pt idx="7">
                  <c:v>7</c:v>
                </c:pt>
                <c:pt idx="8">
                  <c:v>3</c:v>
                </c:pt>
                <c:pt idx="9">
                  <c:v>1</c:v>
                </c:pt>
              </c:numCache>
            </c:numRef>
          </c:val>
          <c:extLst>
            <c:ext xmlns:c16="http://schemas.microsoft.com/office/drawing/2014/chart" uri="{C3380CC4-5D6E-409C-BE32-E72D297353CC}">
              <c16:uniqueId val="{00000000-519B-484C-8CC0-BA69D575E2ED}"/>
            </c:ext>
          </c:extLst>
        </c:ser>
        <c:ser>
          <c:idx val="1"/>
          <c:order val="1"/>
          <c:tx>
            <c:strRef>
              <c:f>'pivot tables'!$K$81:$K$82</c:f>
              <c:strCache>
                <c:ptCount val="1"/>
                <c:pt idx="0">
                  <c:v>Gujarat</c:v>
                </c:pt>
              </c:strCache>
            </c:strRef>
          </c:tx>
          <c:invertIfNegative val="0"/>
          <c:cat>
            <c:strRef>
              <c:f>'pivot tables'!$I$83:$I$93</c:f>
              <c:strCache>
                <c:ptCount val="10"/>
                <c:pt idx="0">
                  <c:v>A-Class</c:v>
                </c:pt>
                <c:pt idx="1">
                  <c:v>AMG C43</c:v>
                </c:pt>
                <c:pt idx="2">
                  <c:v>AMG G63</c:v>
                </c:pt>
                <c:pt idx="3">
                  <c:v>C-Class</c:v>
                </c:pt>
                <c:pt idx="4">
                  <c:v>E-Class</c:v>
                </c:pt>
                <c:pt idx="5">
                  <c:v>GLA</c:v>
                </c:pt>
                <c:pt idx="6">
                  <c:v>GLB</c:v>
                </c:pt>
                <c:pt idx="7">
                  <c:v>GLC</c:v>
                </c:pt>
                <c:pt idx="8">
                  <c:v>GLE</c:v>
                </c:pt>
                <c:pt idx="9">
                  <c:v>S-Class</c:v>
                </c:pt>
              </c:strCache>
            </c:strRef>
          </c:cat>
          <c:val>
            <c:numRef>
              <c:f>'pivot tables'!$K$83:$K$93</c:f>
              <c:numCache>
                <c:formatCode>General</c:formatCode>
                <c:ptCount val="10"/>
                <c:pt idx="0">
                  <c:v>13</c:v>
                </c:pt>
                <c:pt idx="1">
                  <c:v>8</c:v>
                </c:pt>
                <c:pt idx="2">
                  <c:v>15</c:v>
                </c:pt>
                <c:pt idx="3">
                  <c:v>15</c:v>
                </c:pt>
                <c:pt idx="4">
                  <c:v>9</c:v>
                </c:pt>
                <c:pt idx="5">
                  <c:v>9</c:v>
                </c:pt>
                <c:pt idx="6">
                  <c:v>8</c:v>
                </c:pt>
                <c:pt idx="7">
                  <c:v>11</c:v>
                </c:pt>
                <c:pt idx="8">
                  <c:v>12</c:v>
                </c:pt>
                <c:pt idx="9">
                  <c:v>12</c:v>
                </c:pt>
              </c:numCache>
            </c:numRef>
          </c:val>
          <c:extLst>
            <c:ext xmlns:c16="http://schemas.microsoft.com/office/drawing/2014/chart" uri="{C3380CC4-5D6E-409C-BE32-E72D297353CC}">
              <c16:uniqueId val="{00000001-519B-484C-8CC0-BA69D575E2ED}"/>
            </c:ext>
          </c:extLst>
        </c:ser>
        <c:ser>
          <c:idx val="2"/>
          <c:order val="2"/>
          <c:tx>
            <c:strRef>
              <c:f>'pivot tables'!$L$81:$L$82</c:f>
              <c:strCache>
                <c:ptCount val="1"/>
                <c:pt idx="0">
                  <c:v>Karnataka</c:v>
                </c:pt>
              </c:strCache>
            </c:strRef>
          </c:tx>
          <c:invertIfNegative val="0"/>
          <c:cat>
            <c:strRef>
              <c:f>'pivot tables'!$I$83:$I$93</c:f>
              <c:strCache>
                <c:ptCount val="10"/>
                <c:pt idx="0">
                  <c:v>A-Class</c:v>
                </c:pt>
                <c:pt idx="1">
                  <c:v>AMG C43</c:v>
                </c:pt>
                <c:pt idx="2">
                  <c:v>AMG G63</c:v>
                </c:pt>
                <c:pt idx="3">
                  <c:v>C-Class</c:v>
                </c:pt>
                <c:pt idx="4">
                  <c:v>E-Class</c:v>
                </c:pt>
                <c:pt idx="5">
                  <c:v>GLA</c:v>
                </c:pt>
                <c:pt idx="6">
                  <c:v>GLB</c:v>
                </c:pt>
                <c:pt idx="7">
                  <c:v>GLC</c:v>
                </c:pt>
                <c:pt idx="8">
                  <c:v>GLE</c:v>
                </c:pt>
                <c:pt idx="9">
                  <c:v>S-Class</c:v>
                </c:pt>
              </c:strCache>
            </c:strRef>
          </c:cat>
          <c:val>
            <c:numRef>
              <c:f>'pivot tables'!$L$83:$L$93</c:f>
              <c:numCache>
                <c:formatCode>General</c:formatCode>
                <c:ptCount val="10"/>
                <c:pt idx="0">
                  <c:v>3</c:v>
                </c:pt>
                <c:pt idx="1">
                  <c:v>4</c:v>
                </c:pt>
                <c:pt idx="2">
                  <c:v>3</c:v>
                </c:pt>
                <c:pt idx="3">
                  <c:v>2</c:v>
                </c:pt>
                <c:pt idx="4">
                  <c:v>7</c:v>
                </c:pt>
                <c:pt idx="5">
                  <c:v>6</c:v>
                </c:pt>
                <c:pt idx="6">
                  <c:v>2</c:v>
                </c:pt>
                <c:pt idx="7">
                  <c:v>5</c:v>
                </c:pt>
                <c:pt idx="8">
                  <c:v>2</c:v>
                </c:pt>
                <c:pt idx="9">
                  <c:v>4</c:v>
                </c:pt>
              </c:numCache>
            </c:numRef>
          </c:val>
          <c:extLst>
            <c:ext xmlns:c16="http://schemas.microsoft.com/office/drawing/2014/chart" uri="{C3380CC4-5D6E-409C-BE32-E72D297353CC}">
              <c16:uniqueId val="{00000002-519B-484C-8CC0-BA69D575E2ED}"/>
            </c:ext>
          </c:extLst>
        </c:ser>
        <c:ser>
          <c:idx val="3"/>
          <c:order val="3"/>
          <c:tx>
            <c:strRef>
              <c:f>'pivot tables'!$M$81:$M$82</c:f>
              <c:strCache>
                <c:ptCount val="1"/>
                <c:pt idx="0">
                  <c:v>Maharashtra</c:v>
                </c:pt>
              </c:strCache>
            </c:strRef>
          </c:tx>
          <c:invertIfNegative val="0"/>
          <c:cat>
            <c:strRef>
              <c:f>'pivot tables'!$I$83:$I$93</c:f>
              <c:strCache>
                <c:ptCount val="10"/>
                <c:pt idx="0">
                  <c:v>A-Class</c:v>
                </c:pt>
                <c:pt idx="1">
                  <c:v>AMG C43</c:v>
                </c:pt>
                <c:pt idx="2">
                  <c:v>AMG G63</c:v>
                </c:pt>
                <c:pt idx="3">
                  <c:v>C-Class</c:v>
                </c:pt>
                <c:pt idx="4">
                  <c:v>E-Class</c:v>
                </c:pt>
                <c:pt idx="5">
                  <c:v>GLA</c:v>
                </c:pt>
                <c:pt idx="6">
                  <c:v>GLB</c:v>
                </c:pt>
                <c:pt idx="7">
                  <c:v>GLC</c:v>
                </c:pt>
                <c:pt idx="8">
                  <c:v>GLE</c:v>
                </c:pt>
                <c:pt idx="9">
                  <c:v>S-Class</c:v>
                </c:pt>
              </c:strCache>
            </c:strRef>
          </c:cat>
          <c:val>
            <c:numRef>
              <c:f>'pivot tables'!$M$83:$M$93</c:f>
              <c:numCache>
                <c:formatCode>General</c:formatCode>
                <c:ptCount val="10"/>
                <c:pt idx="0">
                  <c:v>4</c:v>
                </c:pt>
                <c:pt idx="1">
                  <c:v>8</c:v>
                </c:pt>
                <c:pt idx="2">
                  <c:v>10</c:v>
                </c:pt>
                <c:pt idx="3">
                  <c:v>4</c:v>
                </c:pt>
                <c:pt idx="4">
                  <c:v>7</c:v>
                </c:pt>
                <c:pt idx="5">
                  <c:v>13</c:v>
                </c:pt>
                <c:pt idx="6">
                  <c:v>11</c:v>
                </c:pt>
                <c:pt idx="7">
                  <c:v>7</c:v>
                </c:pt>
                <c:pt idx="8">
                  <c:v>7</c:v>
                </c:pt>
                <c:pt idx="9">
                  <c:v>8</c:v>
                </c:pt>
              </c:numCache>
            </c:numRef>
          </c:val>
          <c:extLst>
            <c:ext xmlns:c16="http://schemas.microsoft.com/office/drawing/2014/chart" uri="{C3380CC4-5D6E-409C-BE32-E72D297353CC}">
              <c16:uniqueId val="{00000003-519B-484C-8CC0-BA69D575E2ED}"/>
            </c:ext>
          </c:extLst>
        </c:ser>
        <c:ser>
          <c:idx val="4"/>
          <c:order val="4"/>
          <c:tx>
            <c:strRef>
              <c:f>'pivot tables'!$N$81:$N$82</c:f>
              <c:strCache>
                <c:ptCount val="1"/>
                <c:pt idx="0">
                  <c:v>Rajasthan</c:v>
                </c:pt>
              </c:strCache>
            </c:strRef>
          </c:tx>
          <c:invertIfNegative val="0"/>
          <c:cat>
            <c:strRef>
              <c:f>'pivot tables'!$I$83:$I$93</c:f>
              <c:strCache>
                <c:ptCount val="10"/>
                <c:pt idx="0">
                  <c:v>A-Class</c:v>
                </c:pt>
                <c:pt idx="1">
                  <c:v>AMG C43</c:v>
                </c:pt>
                <c:pt idx="2">
                  <c:v>AMG G63</c:v>
                </c:pt>
                <c:pt idx="3">
                  <c:v>C-Class</c:v>
                </c:pt>
                <c:pt idx="4">
                  <c:v>E-Class</c:v>
                </c:pt>
                <c:pt idx="5">
                  <c:v>GLA</c:v>
                </c:pt>
                <c:pt idx="6">
                  <c:v>GLB</c:v>
                </c:pt>
                <c:pt idx="7">
                  <c:v>GLC</c:v>
                </c:pt>
                <c:pt idx="8">
                  <c:v>GLE</c:v>
                </c:pt>
                <c:pt idx="9">
                  <c:v>S-Class</c:v>
                </c:pt>
              </c:strCache>
            </c:strRef>
          </c:cat>
          <c:val>
            <c:numRef>
              <c:f>'pivot tables'!$N$83:$N$93</c:f>
              <c:numCache>
                <c:formatCode>General</c:formatCode>
                <c:ptCount val="10"/>
                <c:pt idx="0">
                  <c:v>2</c:v>
                </c:pt>
                <c:pt idx="1">
                  <c:v>4</c:v>
                </c:pt>
                <c:pt idx="2">
                  <c:v>3</c:v>
                </c:pt>
                <c:pt idx="3">
                  <c:v>5</c:v>
                </c:pt>
                <c:pt idx="4">
                  <c:v>2</c:v>
                </c:pt>
                <c:pt idx="5">
                  <c:v>4</c:v>
                </c:pt>
                <c:pt idx="6">
                  <c:v>7</c:v>
                </c:pt>
                <c:pt idx="7">
                  <c:v>5</c:v>
                </c:pt>
                <c:pt idx="8">
                  <c:v>4</c:v>
                </c:pt>
                <c:pt idx="9">
                  <c:v>5</c:v>
                </c:pt>
              </c:numCache>
            </c:numRef>
          </c:val>
          <c:extLst>
            <c:ext xmlns:c16="http://schemas.microsoft.com/office/drawing/2014/chart" uri="{C3380CC4-5D6E-409C-BE32-E72D297353CC}">
              <c16:uniqueId val="{00000004-519B-484C-8CC0-BA69D575E2ED}"/>
            </c:ext>
          </c:extLst>
        </c:ser>
        <c:ser>
          <c:idx val="5"/>
          <c:order val="5"/>
          <c:tx>
            <c:strRef>
              <c:f>'pivot tables'!$O$81:$O$82</c:f>
              <c:strCache>
                <c:ptCount val="1"/>
                <c:pt idx="0">
                  <c:v>Tamil Nadu</c:v>
                </c:pt>
              </c:strCache>
            </c:strRef>
          </c:tx>
          <c:invertIfNegative val="0"/>
          <c:cat>
            <c:strRef>
              <c:f>'pivot tables'!$I$83:$I$93</c:f>
              <c:strCache>
                <c:ptCount val="10"/>
                <c:pt idx="0">
                  <c:v>A-Class</c:v>
                </c:pt>
                <c:pt idx="1">
                  <c:v>AMG C43</c:v>
                </c:pt>
                <c:pt idx="2">
                  <c:v>AMG G63</c:v>
                </c:pt>
                <c:pt idx="3">
                  <c:v>C-Class</c:v>
                </c:pt>
                <c:pt idx="4">
                  <c:v>E-Class</c:v>
                </c:pt>
                <c:pt idx="5">
                  <c:v>GLA</c:v>
                </c:pt>
                <c:pt idx="6">
                  <c:v>GLB</c:v>
                </c:pt>
                <c:pt idx="7">
                  <c:v>GLC</c:v>
                </c:pt>
                <c:pt idx="8">
                  <c:v>GLE</c:v>
                </c:pt>
                <c:pt idx="9">
                  <c:v>S-Class</c:v>
                </c:pt>
              </c:strCache>
            </c:strRef>
          </c:cat>
          <c:val>
            <c:numRef>
              <c:f>'pivot tables'!$O$83:$O$93</c:f>
              <c:numCache>
                <c:formatCode>General</c:formatCode>
                <c:ptCount val="10"/>
                <c:pt idx="0">
                  <c:v>5</c:v>
                </c:pt>
                <c:pt idx="1">
                  <c:v>6</c:v>
                </c:pt>
                <c:pt idx="2">
                  <c:v>6</c:v>
                </c:pt>
                <c:pt idx="3">
                  <c:v>1</c:v>
                </c:pt>
                <c:pt idx="4">
                  <c:v>4</c:v>
                </c:pt>
                <c:pt idx="5">
                  <c:v>7</c:v>
                </c:pt>
                <c:pt idx="6">
                  <c:v>1</c:v>
                </c:pt>
                <c:pt idx="7">
                  <c:v>3</c:v>
                </c:pt>
                <c:pt idx="8">
                  <c:v>7</c:v>
                </c:pt>
                <c:pt idx="9">
                  <c:v>3</c:v>
                </c:pt>
              </c:numCache>
            </c:numRef>
          </c:val>
          <c:extLst>
            <c:ext xmlns:c16="http://schemas.microsoft.com/office/drawing/2014/chart" uri="{C3380CC4-5D6E-409C-BE32-E72D297353CC}">
              <c16:uniqueId val="{00000005-519B-484C-8CC0-BA69D575E2ED}"/>
            </c:ext>
          </c:extLst>
        </c:ser>
        <c:ser>
          <c:idx val="6"/>
          <c:order val="6"/>
          <c:tx>
            <c:strRef>
              <c:f>'pivot tables'!$P$81:$P$82</c:f>
              <c:strCache>
                <c:ptCount val="1"/>
                <c:pt idx="0">
                  <c:v>Telangana</c:v>
                </c:pt>
              </c:strCache>
            </c:strRef>
          </c:tx>
          <c:invertIfNegative val="0"/>
          <c:cat>
            <c:strRef>
              <c:f>'pivot tables'!$I$83:$I$93</c:f>
              <c:strCache>
                <c:ptCount val="10"/>
                <c:pt idx="0">
                  <c:v>A-Class</c:v>
                </c:pt>
                <c:pt idx="1">
                  <c:v>AMG C43</c:v>
                </c:pt>
                <c:pt idx="2">
                  <c:v>AMG G63</c:v>
                </c:pt>
                <c:pt idx="3">
                  <c:v>C-Class</c:v>
                </c:pt>
                <c:pt idx="4">
                  <c:v>E-Class</c:v>
                </c:pt>
                <c:pt idx="5">
                  <c:v>GLA</c:v>
                </c:pt>
                <c:pt idx="6">
                  <c:v>GLB</c:v>
                </c:pt>
                <c:pt idx="7">
                  <c:v>GLC</c:v>
                </c:pt>
                <c:pt idx="8">
                  <c:v>GLE</c:v>
                </c:pt>
                <c:pt idx="9">
                  <c:v>S-Class</c:v>
                </c:pt>
              </c:strCache>
            </c:strRef>
          </c:cat>
          <c:val>
            <c:numRef>
              <c:f>'pivot tables'!$P$83:$P$93</c:f>
              <c:numCache>
                <c:formatCode>General</c:formatCode>
                <c:ptCount val="10"/>
                <c:pt idx="0">
                  <c:v>4</c:v>
                </c:pt>
                <c:pt idx="1">
                  <c:v>5</c:v>
                </c:pt>
                <c:pt idx="2">
                  <c:v>3</c:v>
                </c:pt>
                <c:pt idx="3">
                  <c:v>8</c:v>
                </c:pt>
                <c:pt idx="4">
                  <c:v>5</c:v>
                </c:pt>
                <c:pt idx="5">
                  <c:v>6</c:v>
                </c:pt>
                <c:pt idx="6">
                  <c:v>3</c:v>
                </c:pt>
                <c:pt idx="7">
                  <c:v>4</c:v>
                </c:pt>
                <c:pt idx="8">
                  <c:v>5</c:v>
                </c:pt>
                <c:pt idx="9">
                  <c:v>4</c:v>
                </c:pt>
              </c:numCache>
            </c:numRef>
          </c:val>
          <c:extLst>
            <c:ext xmlns:c16="http://schemas.microsoft.com/office/drawing/2014/chart" uri="{C3380CC4-5D6E-409C-BE32-E72D297353CC}">
              <c16:uniqueId val="{00000006-519B-484C-8CC0-BA69D575E2ED}"/>
            </c:ext>
          </c:extLst>
        </c:ser>
        <c:dLbls>
          <c:showLegendKey val="0"/>
          <c:showVal val="0"/>
          <c:showCatName val="0"/>
          <c:showSerName val="0"/>
          <c:showPercent val="0"/>
          <c:showBubbleSize val="0"/>
        </c:dLbls>
        <c:gapWidth val="150"/>
        <c:axId val="126465152"/>
        <c:axId val="126466688"/>
      </c:barChart>
      <c:catAx>
        <c:axId val="126465152"/>
        <c:scaling>
          <c:orientation val="minMax"/>
        </c:scaling>
        <c:delete val="0"/>
        <c:axPos val="b"/>
        <c:numFmt formatCode="General" sourceLinked="0"/>
        <c:majorTickMark val="out"/>
        <c:minorTickMark val="none"/>
        <c:tickLblPos val="nextTo"/>
        <c:crossAx val="126466688"/>
        <c:crosses val="autoZero"/>
        <c:auto val="1"/>
        <c:lblAlgn val="ctr"/>
        <c:lblOffset val="100"/>
        <c:noMultiLvlLbl val="0"/>
      </c:catAx>
      <c:valAx>
        <c:axId val="126466688"/>
        <c:scaling>
          <c:orientation val="minMax"/>
        </c:scaling>
        <c:delete val="0"/>
        <c:axPos val="l"/>
        <c:majorGridlines>
          <c:spPr>
            <a:ln>
              <a:solidFill>
                <a:sysClr val="windowText" lastClr="000000"/>
              </a:solidFill>
            </a:ln>
          </c:spPr>
        </c:majorGridlines>
        <c:numFmt formatCode="General" sourceLinked="1"/>
        <c:majorTickMark val="out"/>
        <c:minorTickMark val="none"/>
        <c:tickLblPos val="nextTo"/>
        <c:crossAx val="126465152"/>
        <c:crosses val="autoZero"/>
        <c:crossBetween val="between"/>
      </c:valAx>
      <c:spPr>
        <a:noFill/>
      </c:spPr>
    </c:plotArea>
    <c:legend>
      <c:legendPos val="r"/>
      <c:overlay val="0"/>
    </c:legend>
    <c:plotVisOnly val="1"/>
    <c:dispBlanksAs val="gap"/>
    <c:showDLblsOverMax val="0"/>
  </c:chart>
  <c:spPr>
    <a:noFill/>
    <a:ln>
      <a:noFill/>
    </a:ln>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[mercedes sales data.xlsx]pivot tables!PivotTable3</c:name>
    <c:fmtId val="2"/>
  </c:pivotSource>
  <c:chart>
    <c:title>
      <c:tx>
        <c:rich>
          <a:bodyPr/>
          <a:lstStyle/>
          <a:p>
            <a:pPr>
              <a:defRPr/>
            </a:pPr>
            <a:r>
              <a:rPr lang="en-US"/>
              <a:t>Salesman performance</a:t>
            </a:r>
          </a:p>
        </c:rich>
      </c:tx>
      <c:layout>
        <c:manualLayout>
          <c:xMode val="edge"/>
          <c:yMode val="edge"/>
          <c:x val="0.31557834757834757"/>
          <c:y val="3.6016331291921846E-2"/>
        </c:manualLayout>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1940507436570429"/>
          <c:y val="0.18824803149606298"/>
          <c:w val="0.66210936132983378"/>
          <c:h val="0.49432268883056285"/>
        </c:manualLayout>
      </c:layout>
      <c:barChart>
        <c:barDir val="col"/>
        <c:grouping val="stacked"/>
        <c:varyColors val="0"/>
        <c:ser>
          <c:idx val="0"/>
          <c:order val="0"/>
          <c:tx>
            <c:strRef>
              <c:f>'pivot tables'!$H$17:$H$18</c:f>
              <c:strCache>
                <c:ptCount val="1"/>
                <c:pt idx="0">
                  <c:v>Amit Patel</c:v>
                </c:pt>
              </c:strCache>
            </c:strRef>
          </c:tx>
          <c:invertIfNegative val="0"/>
          <c:cat>
            <c:strRef>
              <c:f>'pivot tables'!$G$19:$G$26</c:f>
              <c:strCache>
                <c:ptCount val="7"/>
                <c:pt idx="0">
                  <c:v>Delhi</c:v>
                </c:pt>
                <c:pt idx="1">
                  <c:v>Gujarat</c:v>
                </c:pt>
                <c:pt idx="2">
                  <c:v>Karnataka</c:v>
                </c:pt>
                <c:pt idx="3">
                  <c:v>Maharashtra</c:v>
                </c:pt>
                <c:pt idx="4">
                  <c:v>Rajasthan</c:v>
                </c:pt>
                <c:pt idx="5">
                  <c:v>Tamil Nadu</c:v>
                </c:pt>
                <c:pt idx="6">
                  <c:v>Telangana</c:v>
                </c:pt>
              </c:strCache>
            </c:strRef>
          </c:cat>
          <c:val>
            <c:numRef>
              <c:f>'pivot tables'!$H$19:$H$26</c:f>
              <c:numCache>
                <c:formatCode>General</c:formatCode>
                <c:ptCount val="7"/>
                <c:pt idx="0">
                  <c:v>5</c:v>
                </c:pt>
                <c:pt idx="1">
                  <c:v>24</c:v>
                </c:pt>
                <c:pt idx="2">
                  <c:v>4</c:v>
                </c:pt>
                <c:pt idx="3">
                  <c:v>16</c:v>
                </c:pt>
                <c:pt idx="4">
                  <c:v>6</c:v>
                </c:pt>
                <c:pt idx="5">
                  <c:v>9</c:v>
                </c:pt>
                <c:pt idx="6">
                  <c:v>11</c:v>
                </c:pt>
              </c:numCache>
            </c:numRef>
          </c:val>
          <c:extLst>
            <c:ext xmlns:c16="http://schemas.microsoft.com/office/drawing/2014/chart" uri="{C3380CC4-5D6E-409C-BE32-E72D297353CC}">
              <c16:uniqueId val="{00000000-7D35-4645-96BF-8DD099A43309}"/>
            </c:ext>
          </c:extLst>
        </c:ser>
        <c:ser>
          <c:idx val="1"/>
          <c:order val="1"/>
          <c:tx>
            <c:strRef>
              <c:f>'pivot tables'!$I$17:$I$18</c:f>
              <c:strCache>
                <c:ptCount val="1"/>
                <c:pt idx="0">
                  <c:v>Kunal Mehta</c:v>
                </c:pt>
              </c:strCache>
            </c:strRef>
          </c:tx>
          <c:invertIfNegative val="0"/>
          <c:cat>
            <c:strRef>
              <c:f>'pivot tables'!$G$19:$G$26</c:f>
              <c:strCache>
                <c:ptCount val="7"/>
                <c:pt idx="0">
                  <c:v>Delhi</c:v>
                </c:pt>
                <c:pt idx="1">
                  <c:v>Gujarat</c:v>
                </c:pt>
                <c:pt idx="2">
                  <c:v>Karnataka</c:v>
                </c:pt>
                <c:pt idx="3">
                  <c:v>Maharashtra</c:v>
                </c:pt>
                <c:pt idx="4">
                  <c:v>Rajasthan</c:v>
                </c:pt>
                <c:pt idx="5">
                  <c:v>Tamil Nadu</c:v>
                </c:pt>
                <c:pt idx="6">
                  <c:v>Telangana</c:v>
                </c:pt>
              </c:strCache>
            </c:strRef>
          </c:cat>
          <c:val>
            <c:numRef>
              <c:f>'pivot tables'!$I$19:$I$26</c:f>
              <c:numCache>
                <c:formatCode>General</c:formatCode>
                <c:ptCount val="7"/>
                <c:pt idx="0">
                  <c:v>13</c:v>
                </c:pt>
                <c:pt idx="1">
                  <c:v>26</c:v>
                </c:pt>
                <c:pt idx="2">
                  <c:v>8</c:v>
                </c:pt>
                <c:pt idx="3">
                  <c:v>15</c:v>
                </c:pt>
                <c:pt idx="4">
                  <c:v>6</c:v>
                </c:pt>
                <c:pt idx="5">
                  <c:v>8</c:v>
                </c:pt>
                <c:pt idx="6">
                  <c:v>12</c:v>
                </c:pt>
              </c:numCache>
            </c:numRef>
          </c:val>
          <c:extLst>
            <c:ext xmlns:c16="http://schemas.microsoft.com/office/drawing/2014/chart" uri="{C3380CC4-5D6E-409C-BE32-E72D297353CC}">
              <c16:uniqueId val="{00000001-7D35-4645-96BF-8DD099A43309}"/>
            </c:ext>
          </c:extLst>
        </c:ser>
        <c:ser>
          <c:idx val="2"/>
          <c:order val="2"/>
          <c:tx>
            <c:strRef>
              <c:f>'pivot tables'!$J$17:$J$18</c:f>
              <c:strCache>
                <c:ptCount val="1"/>
                <c:pt idx="0">
                  <c:v>Rohit Singh</c:v>
                </c:pt>
              </c:strCache>
            </c:strRef>
          </c:tx>
          <c:invertIfNegative val="0"/>
          <c:cat>
            <c:strRef>
              <c:f>'pivot tables'!$G$19:$G$26</c:f>
              <c:strCache>
                <c:ptCount val="7"/>
                <c:pt idx="0">
                  <c:v>Delhi</c:v>
                </c:pt>
                <c:pt idx="1">
                  <c:v>Gujarat</c:v>
                </c:pt>
                <c:pt idx="2">
                  <c:v>Karnataka</c:v>
                </c:pt>
                <c:pt idx="3">
                  <c:v>Maharashtra</c:v>
                </c:pt>
                <c:pt idx="4">
                  <c:v>Rajasthan</c:v>
                </c:pt>
                <c:pt idx="5">
                  <c:v>Tamil Nadu</c:v>
                </c:pt>
                <c:pt idx="6">
                  <c:v>Telangana</c:v>
                </c:pt>
              </c:strCache>
            </c:strRef>
          </c:cat>
          <c:val>
            <c:numRef>
              <c:f>'pivot tables'!$J$19:$J$26</c:f>
              <c:numCache>
                <c:formatCode>General</c:formatCode>
                <c:ptCount val="7"/>
                <c:pt idx="0">
                  <c:v>4</c:v>
                </c:pt>
                <c:pt idx="1">
                  <c:v>22</c:v>
                </c:pt>
                <c:pt idx="2">
                  <c:v>9</c:v>
                </c:pt>
                <c:pt idx="3">
                  <c:v>18</c:v>
                </c:pt>
                <c:pt idx="4">
                  <c:v>19</c:v>
                </c:pt>
                <c:pt idx="5">
                  <c:v>10</c:v>
                </c:pt>
                <c:pt idx="6">
                  <c:v>4</c:v>
                </c:pt>
              </c:numCache>
            </c:numRef>
          </c:val>
          <c:extLst>
            <c:ext xmlns:c16="http://schemas.microsoft.com/office/drawing/2014/chart" uri="{C3380CC4-5D6E-409C-BE32-E72D297353CC}">
              <c16:uniqueId val="{00000002-7D35-4645-96BF-8DD099A43309}"/>
            </c:ext>
          </c:extLst>
        </c:ser>
        <c:ser>
          <c:idx val="3"/>
          <c:order val="3"/>
          <c:tx>
            <c:strRef>
              <c:f>'pivot tables'!$K$17:$K$18</c:f>
              <c:strCache>
                <c:ptCount val="1"/>
                <c:pt idx="0">
                  <c:v>Suresh Iyer</c:v>
                </c:pt>
              </c:strCache>
            </c:strRef>
          </c:tx>
          <c:invertIfNegative val="0"/>
          <c:cat>
            <c:strRef>
              <c:f>'pivot tables'!$G$19:$G$26</c:f>
              <c:strCache>
                <c:ptCount val="7"/>
                <c:pt idx="0">
                  <c:v>Delhi</c:v>
                </c:pt>
                <c:pt idx="1">
                  <c:v>Gujarat</c:v>
                </c:pt>
                <c:pt idx="2">
                  <c:v>Karnataka</c:v>
                </c:pt>
                <c:pt idx="3">
                  <c:v>Maharashtra</c:v>
                </c:pt>
                <c:pt idx="4">
                  <c:v>Rajasthan</c:v>
                </c:pt>
                <c:pt idx="5">
                  <c:v>Tamil Nadu</c:v>
                </c:pt>
                <c:pt idx="6">
                  <c:v>Telangana</c:v>
                </c:pt>
              </c:strCache>
            </c:strRef>
          </c:cat>
          <c:val>
            <c:numRef>
              <c:f>'pivot tables'!$K$19:$K$26</c:f>
              <c:numCache>
                <c:formatCode>General</c:formatCode>
                <c:ptCount val="7"/>
                <c:pt idx="0">
                  <c:v>12</c:v>
                </c:pt>
                <c:pt idx="1">
                  <c:v>18</c:v>
                </c:pt>
                <c:pt idx="2">
                  <c:v>11</c:v>
                </c:pt>
                <c:pt idx="3">
                  <c:v>12</c:v>
                </c:pt>
                <c:pt idx="4">
                  <c:v>5</c:v>
                </c:pt>
                <c:pt idx="5">
                  <c:v>12</c:v>
                </c:pt>
                <c:pt idx="6">
                  <c:v>11</c:v>
                </c:pt>
              </c:numCache>
            </c:numRef>
          </c:val>
          <c:extLst>
            <c:ext xmlns:c16="http://schemas.microsoft.com/office/drawing/2014/chart" uri="{C3380CC4-5D6E-409C-BE32-E72D297353CC}">
              <c16:uniqueId val="{00000003-7D35-4645-96BF-8DD099A43309}"/>
            </c:ext>
          </c:extLst>
        </c:ser>
        <c:ser>
          <c:idx val="4"/>
          <c:order val="4"/>
          <c:tx>
            <c:strRef>
              <c:f>'pivot tables'!$L$17:$L$18</c:f>
              <c:strCache>
                <c:ptCount val="1"/>
                <c:pt idx="0">
                  <c:v>Vivek Sharma</c:v>
                </c:pt>
              </c:strCache>
            </c:strRef>
          </c:tx>
          <c:invertIfNegative val="0"/>
          <c:cat>
            <c:strRef>
              <c:f>'pivot tables'!$G$19:$G$26</c:f>
              <c:strCache>
                <c:ptCount val="7"/>
                <c:pt idx="0">
                  <c:v>Delhi</c:v>
                </c:pt>
                <c:pt idx="1">
                  <c:v>Gujarat</c:v>
                </c:pt>
                <c:pt idx="2">
                  <c:v>Karnataka</c:v>
                </c:pt>
                <c:pt idx="3">
                  <c:v>Maharashtra</c:v>
                </c:pt>
                <c:pt idx="4">
                  <c:v>Rajasthan</c:v>
                </c:pt>
                <c:pt idx="5">
                  <c:v>Tamil Nadu</c:v>
                </c:pt>
                <c:pt idx="6">
                  <c:v>Telangana</c:v>
                </c:pt>
              </c:strCache>
            </c:strRef>
          </c:cat>
          <c:val>
            <c:numRef>
              <c:f>'pivot tables'!$L$19:$L$26</c:f>
              <c:numCache>
                <c:formatCode>General</c:formatCode>
                <c:ptCount val="7"/>
                <c:pt idx="0">
                  <c:v>6</c:v>
                </c:pt>
                <c:pt idx="1">
                  <c:v>22</c:v>
                </c:pt>
                <c:pt idx="2">
                  <c:v>6</c:v>
                </c:pt>
                <c:pt idx="3">
                  <c:v>18</c:v>
                </c:pt>
                <c:pt idx="4">
                  <c:v>5</c:v>
                </c:pt>
                <c:pt idx="5">
                  <c:v>4</c:v>
                </c:pt>
                <c:pt idx="6">
                  <c:v>9</c:v>
                </c:pt>
              </c:numCache>
            </c:numRef>
          </c:val>
          <c:extLst>
            <c:ext xmlns:c16="http://schemas.microsoft.com/office/drawing/2014/chart" uri="{C3380CC4-5D6E-409C-BE32-E72D297353CC}">
              <c16:uniqueId val="{00000004-7D35-4645-96BF-8DD099A43309}"/>
            </c:ext>
          </c:extLst>
        </c:ser>
        <c:dLbls>
          <c:showLegendKey val="0"/>
          <c:showVal val="0"/>
          <c:showCatName val="0"/>
          <c:showSerName val="0"/>
          <c:showPercent val="0"/>
          <c:showBubbleSize val="0"/>
        </c:dLbls>
        <c:gapWidth val="150"/>
        <c:overlap val="100"/>
        <c:axId val="126839424"/>
        <c:axId val="126845312"/>
      </c:barChart>
      <c:catAx>
        <c:axId val="126839424"/>
        <c:scaling>
          <c:orientation val="minMax"/>
        </c:scaling>
        <c:delete val="0"/>
        <c:axPos val="b"/>
        <c:numFmt formatCode="General" sourceLinked="0"/>
        <c:majorTickMark val="out"/>
        <c:minorTickMark val="none"/>
        <c:tickLblPos val="nextTo"/>
        <c:crossAx val="126845312"/>
        <c:crosses val="autoZero"/>
        <c:auto val="1"/>
        <c:lblAlgn val="ctr"/>
        <c:lblOffset val="100"/>
        <c:noMultiLvlLbl val="0"/>
      </c:catAx>
      <c:valAx>
        <c:axId val="126845312"/>
        <c:scaling>
          <c:orientation val="minMax"/>
        </c:scaling>
        <c:delete val="0"/>
        <c:axPos val="l"/>
        <c:majorGridlines/>
        <c:numFmt formatCode="General" sourceLinked="1"/>
        <c:majorTickMark val="out"/>
        <c:minorTickMark val="none"/>
        <c:tickLblPos val="nextTo"/>
        <c:crossAx val="126839424"/>
        <c:crosses val="autoZero"/>
        <c:crossBetween val="between"/>
      </c:valAx>
      <c:spPr>
        <a:noFill/>
      </c:spPr>
    </c:plotArea>
    <c:legend>
      <c:legendPos val="r"/>
      <c:overlay val="0"/>
    </c:legend>
    <c:plotVisOnly val="1"/>
    <c:dispBlanksAs val="gap"/>
    <c:showDLblsOverMax val="0"/>
  </c:chart>
  <c:spPr>
    <a:noFill/>
    <a:ln>
      <a:noFill/>
    </a:ln>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[mercedes sales data.xlsx]pivot tables!PivotTable4</c:name>
    <c:fmtId val="2"/>
  </c:pivotSource>
  <c:chart>
    <c:title>
      <c:tx>
        <c:rich>
          <a:bodyPr/>
          <a:lstStyle/>
          <a:p>
            <a:pPr>
              <a:defRPr/>
            </a:pPr>
            <a:r>
              <a:rPr lang="en-US"/>
              <a:t>Payment mode</a:t>
            </a:r>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'pivot tables'!$H$30:$H$31</c:f>
              <c:strCache>
                <c:ptCount val="1"/>
                <c:pt idx="0">
                  <c:v>Bank Loan</c:v>
                </c:pt>
              </c:strCache>
            </c:strRef>
          </c:tx>
          <c:cat>
            <c:strRef>
              <c:f>'pivot tables'!$G$32:$G$39</c:f>
              <c:strCache>
                <c:ptCount val="7"/>
                <c:pt idx="0">
                  <c:v>Delhi</c:v>
                </c:pt>
                <c:pt idx="1">
                  <c:v>Gujarat</c:v>
                </c:pt>
                <c:pt idx="2">
                  <c:v>Karnataka</c:v>
                </c:pt>
                <c:pt idx="3">
                  <c:v>Maharashtra</c:v>
                </c:pt>
                <c:pt idx="4">
                  <c:v>Rajasthan</c:v>
                </c:pt>
                <c:pt idx="5">
                  <c:v>Tamil Nadu</c:v>
                </c:pt>
                <c:pt idx="6">
                  <c:v>Telangana</c:v>
                </c:pt>
              </c:strCache>
            </c:strRef>
          </c:cat>
          <c:val>
            <c:numRef>
              <c:f>'pivot tables'!$H$32:$H$39</c:f>
              <c:numCache>
                <c:formatCode>General</c:formatCode>
                <c:ptCount val="7"/>
                <c:pt idx="0">
                  <c:v>6</c:v>
                </c:pt>
                <c:pt idx="1">
                  <c:v>29</c:v>
                </c:pt>
                <c:pt idx="2">
                  <c:v>6</c:v>
                </c:pt>
                <c:pt idx="3">
                  <c:v>15</c:v>
                </c:pt>
                <c:pt idx="4">
                  <c:v>6</c:v>
                </c:pt>
                <c:pt idx="5">
                  <c:v>6</c:v>
                </c:pt>
                <c:pt idx="6">
                  <c:v>9</c:v>
                </c:pt>
              </c:numCache>
            </c:numRef>
          </c:val>
          <c:extLst>
            <c:ext xmlns:c16="http://schemas.microsoft.com/office/drawing/2014/chart" uri="{C3380CC4-5D6E-409C-BE32-E72D297353CC}">
              <c16:uniqueId val="{00000000-C985-4465-86FC-CDA9472BBA74}"/>
            </c:ext>
          </c:extLst>
        </c:ser>
        <c:ser>
          <c:idx val="1"/>
          <c:order val="1"/>
          <c:tx>
            <c:strRef>
              <c:f>'pivot tables'!$I$30:$I$31</c:f>
              <c:strCache>
                <c:ptCount val="1"/>
                <c:pt idx="0">
                  <c:v>Cash</c:v>
                </c:pt>
              </c:strCache>
            </c:strRef>
          </c:tx>
          <c:cat>
            <c:strRef>
              <c:f>'pivot tables'!$G$32:$G$39</c:f>
              <c:strCache>
                <c:ptCount val="7"/>
                <c:pt idx="0">
                  <c:v>Delhi</c:v>
                </c:pt>
                <c:pt idx="1">
                  <c:v>Gujarat</c:v>
                </c:pt>
                <c:pt idx="2">
                  <c:v>Karnataka</c:v>
                </c:pt>
                <c:pt idx="3">
                  <c:v>Maharashtra</c:v>
                </c:pt>
                <c:pt idx="4">
                  <c:v>Rajasthan</c:v>
                </c:pt>
                <c:pt idx="5">
                  <c:v>Tamil Nadu</c:v>
                </c:pt>
                <c:pt idx="6">
                  <c:v>Telangana</c:v>
                </c:pt>
              </c:strCache>
            </c:strRef>
          </c:cat>
          <c:val>
            <c:numRef>
              <c:f>'pivot tables'!$I$32:$I$39</c:f>
              <c:numCache>
                <c:formatCode>General</c:formatCode>
                <c:ptCount val="7"/>
                <c:pt idx="0">
                  <c:v>11</c:v>
                </c:pt>
                <c:pt idx="1">
                  <c:v>20</c:v>
                </c:pt>
                <c:pt idx="2">
                  <c:v>6</c:v>
                </c:pt>
                <c:pt idx="3">
                  <c:v>22</c:v>
                </c:pt>
                <c:pt idx="4">
                  <c:v>7</c:v>
                </c:pt>
                <c:pt idx="5">
                  <c:v>10</c:v>
                </c:pt>
                <c:pt idx="6">
                  <c:v>9</c:v>
                </c:pt>
              </c:numCache>
            </c:numRef>
          </c:val>
          <c:extLst>
            <c:ext xmlns:c16="http://schemas.microsoft.com/office/drawing/2014/chart" uri="{C3380CC4-5D6E-409C-BE32-E72D297353CC}">
              <c16:uniqueId val="{00000001-C985-4465-86FC-CDA9472BBA74}"/>
            </c:ext>
          </c:extLst>
        </c:ser>
        <c:ser>
          <c:idx val="2"/>
          <c:order val="2"/>
          <c:tx>
            <c:strRef>
              <c:f>'pivot tables'!$J$30:$J$31</c:f>
              <c:strCache>
                <c:ptCount val="1"/>
                <c:pt idx="0">
                  <c:v>Credit Card</c:v>
                </c:pt>
              </c:strCache>
            </c:strRef>
          </c:tx>
          <c:cat>
            <c:strRef>
              <c:f>'pivot tables'!$G$32:$G$39</c:f>
              <c:strCache>
                <c:ptCount val="7"/>
                <c:pt idx="0">
                  <c:v>Delhi</c:v>
                </c:pt>
                <c:pt idx="1">
                  <c:v>Gujarat</c:v>
                </c:pt>
                <c:pt idx="2">
                  <c:v>Karnataka</c:v>
                </c:pt>
                <c:pt idx="3">
                  <c:v>Maharashtra</c:v>
                </c:pt>
                <c:pt idx="4">
                  <c:v>Rajasthan</c:v>
                </c:pt>
                <c:pt idx="5">
                  <c:v>Tamil Nadu</c:v>
                </c:pt>
                <c:pt idx="6">
                  <c:v>Telangana</c:v>
                </c:pt>
              </c:strCache>
            </c:strRef>
          </c:cat>
          <c:val>
            <c:numRef>
              <c:f>'pivot tables'!$J$32:$J$39</c:f>
              <c:numCache>
                <c:formatCode>General</c:formatCode>
                <c:ptCount val="7"/>
                <c:pt idx="0">
                  <c:v>9</c:v>
                </c:pt>
                <c:pt idx="1">
                  <c:v>18</c:v>
                </c:pt>
                <c:pt idx="2">
                  <c:v>10</c:v>
                </c:pt>
                <c:pt idx="3">
                  <c:v>13</c:v>
                </c:pt>
                <c:pt idx="4">
                  <c:v>11</c:v>
                </c:pt>
                <c:pt idx="5">
                  <c:v>7</c:v>
                </c:pt>
                <c:pt idx="6">
                  <c:v>6</c:v>
                </c:pt>
              </c:numCache>
            </c:numRef>
          </c:val>
          <c:extLst>
            <c:ext xmlns:c16="http://schemas.microsoft.com/office/drawing/2014/chart" uri="{C3380CC4-5D6E-409C-BE32-E72D297353CC}">
              <c16:uniqueId val="{00000002-C985-4465-86FC-CDA9472BBA74}"/>
            </c:ext>
          </c:extLst>
        </c:ser>
        <c:ser>
          <c:idx val="3"/>
          <c:order val="3"/>
          <c:tx>
            <c:strRef>
              <c:f>'pivot tables'!$K$30:$K$31</c:f>
              <c:strCache>
                <c:ptCount val="1"/>
                <c:pt idx="0">
                  <c:v>Debit Card</c:v>
                </c:pt>
              </c:strCache>
            </c:strRef>
          </c:tx>
          <c:cat>
            <c:strRef>
              <c:f>'pivot tables'!$G$32:$G$39</c:f>
              <c:strCache>
                <c:ptCount val="7"/>
                <c:pt idx="0">
                  <c:v>Delhi</c:v>
                </c:pt>
                <c:pt idx="1">
                  <c:v>Gujarat</c:v>
                </c:pt>
                <c:pt idx="2">
                  <c:v>Karnataka</c:v>
                </c:pt>
                <c:pt idx="3">
                  <c:v>Maharashtra</c:v>
                </c:pt>
                <c:pt idx="4">
                  <c:v>Rajasthan</c:v>
                </c:pt>
                <c:pt idx="5">
                  <c:v>Tamil Nadu</c:v>
                </c:pt>
                <c:pt idx="6">
                  <c:v>Telangana</c:v>
                </c:pt>
              </c:strCache>
            </c:strRef>
          </c:cat>
          <c:val>
            <c:numRef>
              <c:f>'pivot tables'!$K$32:$K$39</c:f>
              <c:numCache>
                <c:formatCode>General</c:formatCode>
                <c:ptCount val="7"/>
                <c:pt idx="0">
                  <c:v>4</c:v>
                </c:pt>
                <c:pt idx="1">
                  <c:v>22</c:v>
                </c:pt>
                <c:pt idx="2">
                  <c:v>7</c:v>
                </c:pt>
                <c:pt idx="3">
                  <c:v>12</c:v>
                </c:pt>
                <c:pt idx="4">
                  <c:v>9</c:v>
                </c:pt>
                <c:pt idx="5">
                  <c:v>7</c:v>
                </c:pt>
                <c:pt idx="6">
                  <c:v>15</c:v>
                </c:pt>
              </c:numCache>
            </c:numRef>
          </c:val>
          <c:extLst>
            <c:ext xmlns:c16="http://schemas.microsoft.com/office/drawing/2014/chart" uri="{C3380CC4-5D6E-409C-BE32-E72D297353CC}">
              <c16:uniqueId val="{00000003-C985-4465-86FC-CDA9472BBA74}"/>
            </c:ext>
          </c:extLst>
        </c:ser>
        <c:ser>
          <c:idx val="4"/>
          <c:order val="4"/>
          <c:tx>
            <c:strRef>
              <c:f>'pivot tables'!$L$30:$L$31</c:f>
              <c:strCache>
                <c:ptCount val="1"/>
                <c:pt idx="0">
                  <c:v>UPI</c:v>
                </c:pt>
              </c:strCache>
            </c:strRef>
          </c:tx>
          <c:cat>
            <c:strRef>
              <c:f>'pivot tables'!$G$32:$G$39</c:f>
              <c:strCache>
                <c:ptCount val="7"/>
                <c:pt idx="0">
                  <c:v>Delhi</c:v>
                </c:pt>
                <c:pt idx="1">
                  <c:v>Gujarat</c:v>
                </c:pt>
                <c:pt idx="2">
                  <c:v>Karnataka</c:v>
                </c:pt>
                <c:pt idx="3">
                  <c:v>Maharashtra</c:v>
                </c:pt>
                <c:pt idx="4">
                  <c:v>Rajasthan</c:v>
                </c:pt>
                <c:pt idx="5">
                  <c:v>Tamil Nadu</c:v>
                </c:pt>
                <c:pt idx="6">
                  <c:v>Telangana</c:v>
                </c:pt>
              </c:strCache>
            </c:strRef>
          </c:cat>
          <c:val>
            <c:numRef>
              <c:f>'pivot tables'!$L$32:$L$39</c:f>
              <c:numCache>
                <c:formatCode>General</c:formatCode>
                <c:ptCount val="7"/>
                <c:pt idx="0">
                  <c:v>10</c:v>
                </c:pt>
                <c:pt idx="1">
                  <c:v>23</c:v>
                </c:pt>
                <c:pt idx="2">
                  <c:v>9</c:v>
                </c:pt>
                <c:pt idx="3">
                  <c:v>17</c:v>
                </c:pt>
                <c:pt idx="4">
                  <c:v>8</c:v>
                </c:pt>
                <c:pt idx="5">
                  <c:v>13</c:v>
                </c:pt>
                <c:pt idx="6">
                  <c:v>8</c:v>
                </c:pt>
              </c:numCache>
            </c:numRef>
          </c:val>
          <c:extLst>
            <c:ext xmlns:c16="http://schemas.microsoft.com/office/drawing/2014/chart" uri="{C3380CC4-5D6E-409C-BE32-E72D297353CC}">
              <c16:uniqueId val="{00000004-C985-4465-86FC-CDA9472BBA74}"/>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spPr>
    <a:noFill/>
    <a:ln>
      <a:noFill/>
    </a:ln>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[mercedes sales data.xlsx]pivot tables!PivotTable11</c:name>
    <c:fmtId val="1"/>
  </c:pivotSource>
  <c:chart>
    <c:title>
      <c:tx>
        <c:rich>
          <a:bodyPr/>
          <a:lstStyle/>
          <a:p>
            <a:pPr>
              <a:defRPr/>
            </a:pPr>
            <a:r>
              <a:rPr lang="en-US"/>
              <a:t>Customer category</a:t>
            </a:r>
          </a:p>
        </c:rich>
      </c:tx>
      <c:layout>
        <c:manualLayout>
          <c:xMode val="edge"/>
          <c:yMode val="edge"/>
          <c:x val="0.15806481143499448"/>
          <c:y val="0.16757606727392449"/>
        </c:manualLayout>
      </c:layout>
      <c:overlay val="0"/>
    </c:title>
    <c:autoTitleDeleted val="0"/>
    <c:pivotFmts>
      <c:pivotFmt>
        <c:idx val="0"/>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tables'!$B$91</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'pivot tables'!$A$92:$A$96</c:f>
              <c:strCache>
                <c:ptCount val="4"/>
                <c:pt idx="0">
                  <c:v>budget</c:v>
                </c:pt>
                <c:pt idx="1">
                  <c:v>premium</c:v>
                </c:pt>
                <c:pt idx="2">
                  <c:v>standard</c:v>
                </c:pt>
                <c:pt idx="3">
                  <c:v>ultra premium</c:v>
                </c:pt>
              </c:strCache>
            </c:strRef>
          </c:cat>
          <c:val>
            <c:numRef>
              <c:f>'pivot tables'!$B$92:$B$96</c:f>
              <c:numCache>
                <c:formatCode>General</c:formatCode>
                <c:ptCount val="4"/>
                <c:pt idx="0">
                  <c:v>29</c:v>
                </c:pt>
                <c:pt idx="1">
                  <c:v>75</c:v>
                </c:pt>
                <c:pt idx="2">
                  <c:v>252</c:v>
                </c:pt>
                <c:pt idx="3">
                  <c:v>44</c:v>
                </c:pt>
              </c:numCache>
            </c:numRef>
          </c:val>
          <c:extLst>
            <c:ext xmlns:c16="http://schemas.microsoft.com/office/drawing/2014/chart" uri="{C3380CC4-5D6E-409C-BE32-E72D297353CC}">
              <c16:uniqueId val="{00000000-3204-4376-86F8-960D75EA5B2C}"/>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spPr>
    <a:noFill/>
    <a:ln>
      <a:noFill/>
    </a:ln>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jpeg"/><Relationship Id="rId1" Type="http://schemas.openxmlformats.org/officeDocument/2006/relationships/image" Target="../media/image1.jp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18</xdr:col>
      <xdr:colOff>361950</xdr:colOff>
      <xdr:row>1</xdr:row>
      <xdr:rowOff>47625</xdr:rowOff>
    </xdr:from>
    <xdr:to>
      <xdr:col>26</xdr:col>
      <xdr:colOff>38100</xdr:colOff>
      <xdr:row>14</xdr:row>
      <xdr:rowOff>28575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658600" y="238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38100</xdr:colOff>
      <xdr:row>68</xdr:row>
      <xdr:rowOff>0</xdr:rowOff>
    </xdr:from>
    <xdr:to>
      <xdr:col>35</xdr:col>
      <xdr:colOff>57150</xdr:colOff>
      <xdr:row>81</xdr:row>
      <xdr:rowOff>47625</xdr:rowOff>
    </xdr:to>
    <mc:AlternateContent xmlns:mc="http://schemas.openxmlformats.org/markup-compatibility/2006" xmlns:a14="http://schemas.microsoft.com/office/drawing/2010/main">
      <mc:Choice Requires="a14">
        <xdr:graphicFrame macro="">
          <xdr:nvGraphicFramePr>
            <xdr:cNvPr id="8" name="Model">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5525750" y="13020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723900</xdr:colOff>
      <xdr:row>54</xdr:row>
      <xdr:rowOff>123825</xdr:rowOff>
    </xdr:from>
    <xdr:to>
      <xdr:col>34</xdr:col>
      <xdr:colOff>542925</xdr:colOff>
      <xdr:row>67</xdr:row>
      <xdr:rowOff>171450</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5459075" y="10477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18</xdr:col>
      <xdr:colOff>600075</xdr:colOff>
      <xdr:row>40</xdr:row>
      <xdr:rowOff>114300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0975"/>
          <a:ext cx="11572875" cy="755332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295275</xdr:colOff>
      <xdr:row>2</xdr:row>
      <xdr:rowOff>0</xdr:rowOff>
    </xdr:from>
    <xdr:to>
      <xdr:col>17</xdr:col>
      <xdr:colOff>371475</xdr:colOff>
      <xdr:row>6</xdr:row>
      <xdr:rowOff>0</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295275" y="381000"/>
          <a:ext cx="10439400" cy="762000"/>
        </a:xfrm>
        <a:prstGeom prst="rect">
          <a:avLst/>
        </a:prstGeom>
        <a:noFill/>
        <a:ln>
          <a:solidFill>
            <a:schemeClr val="tx1"/>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295275</xdr:colOff>
      <xdr:row>8</xdr:row>
      <xdr:rowOff>66675</xdr:rowOff>
    </xdr:from>
    <xdr:to>
      <xdr:col>3</xdr:col>
      <xdr:colOff>0</xdr:colOff>
      <xdr:row>12</xdr:row>
      <xdr:rowOff>85725</xdr:rowOff>
    </xdr:to>
    <xdr:sp macro="" textlink="">
      <xdr:nvSpPr>
        <xdr:cNvPr id="5" name="Rectangle 4">
          <a:extLst>
            <a:ext uri="{FF2B5EF4-FFF2-40B4-BE49-F238E27FC236}">
              <a16:creationId xmlns:a16="http://schemas.microsoft.com/office/drawing/2014/main" id="{00000000-0008-0000-0400-000005000000}"/>
            </a:ext>
          </a:extLst>
        </xdr:cNvPr>
        <xdr:cNvSpPr/>
      </xdr:nvSpPr>
      <xdr:spPr>
        <a:xfrm>
          <a:off x="295275" y="1590675"/>
          <a:ext cx="1533525" cy="781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323850</xdr:colOff>
      <xdr:row>14</xdr:row>
      <xdr:rowOff>28575</xdr:rowOff>
    </xdr:from>
    <xdr:to>
      <xdr:col>3</xdr:col>
      <xdr:colOff>38099</xdr:colOff>
      <xdr:row>18</xdr:row>
      <xdr:rowOff>161925</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323850" y="2695575"/>
          <a:ext cx="1543049" cy="895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209550</xdr:colOff>
      <xdr:row>7</xdr:row>
      <xdr:rowOff>161926</xdr:rowOff>
    </xdr:from>
    <xdr:to>
      <xdr:col>10</xdr:col>
      <xdr:colOff>314325</xdr:colOff>
      <xdr:row>19</xdr:row>
      <xdr:rowOff>9526</xdr:rowOff>
    </xdr:to>
    <xdr:sp macro="" textlink="">
      <xdr:nvSpPr>
        <xdr:cNvPr id="7" name="Rectangle 6">
          <a:extLst>
            <a:ext uri="{FF2B5EF4-FFF2-40B4-BE49-F238E27FC236}">
              <a16:creationId xmlns:a16="http://schemas.microsoft.com/office/drawing/2014/main" id="{00000000-0008-0000-0400-000007000000}"/>
            </a:ext>
          </a:extLst>
        </xdr:cNvPr>
        <xdr:cNvSpPr/>
      </xdr:nvSpPr>
      <xdr:spPr>
        <a:xfrm>
          <a:off x="2038350" y="1495426"/>
          <a:ext cx="4371975" cy="21336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561975</xdr:colOff>
      <xdr:row>7</xdr:row>
      <xdr:rowOff>19050</xdr:rowOff>
    </xdr:from>
    <xdr:to>
      <xdr:col>18</xdr:col>
      <xdr:colOff>295275</xdr:colOff>
      <xdr:row>21</xdr:row>
      <xdr:rowOff>180975</xdr:rowOff>
    </xdr:to>
    <xdr:sp macro="" textlink="">
      <xdr:nvSpPr>
        <xdr:cNvPr id="8" name="Rectangle 7">
          <a:extLst>
            <a:ext uri="{FF2B5EF4-FFF2-40B4-BE49-F238E27FC236}">
              <a16:creationId xmlns:a16="http://schemas.microsoft.com/office/drawing/2014/main" id="{00000000-0008-0000-0400-000008000000}"/>
            </a:ext>
          </a:extLst>
        </xdr:cNvPr>
        <xdr:cNvSpPr/>
      </xdr:nvSpPr>
      <xdr:spPr>
        <a:xfrm>
          <a:off x="6657975" y="1352550"/>
          <a:ext cx="4610100" cy="2828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314323</xdr:colOff>
      <xdr:row>20</xdr:row>
      <xdr:rowOff>95249</xdr:rowOff>
    </xdr:from>
    <xdr:to>
      <xdr:col>10</xdr:col>
      <xdr:colOff>352424</xdr:colOff>
      <xdr:row>35</xdr:row>
      <xdr:rowOff>66674</xdr:rowOff>
    </xdr:to>
    <xdr:sp macro="" textlink="">
      <xdr:nvSpPr>
        <xdr:cNvPr id="9" name="Rectangle 8">
          <a:extLst>
            <a:ext uri="{FF2B5EF4-FFF2-40B4-BE49-F238E27FC236}">
              <a16:creationId xmlns:a16="http://schemas.microsoft.com/office/drawing/2014/main" id="{00000000-0008-0000-0400-000009000000}"/>
            </a:ext>
          </a:extLst>
        </xdr:cNvPr>
        <xdr:cNvSpPr/>
      </xdr:nvSpPr>
      <xdr:spPr>
        <a:xfrm>
          <a:off x="314323" y="3905249"/>
          <a:ext cx="6134101" cy="2828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123825</xdr:colOff>
      <xdr:row>2</xdr:row>
      <xdr:rowOff>133350</xdr:rowOff>
    </xdr:from>
    <xdr:to>
      <xdr:col>17</xdr:col>
      <xdr:colOff>295274</xdr:colOff>
      <xdr:row>5</xdr:row>
      <xdr:rowOff>85725</xdr:rowOff>
    </xdr:to>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1343025" y="514350"/>
          <a:ext cx="9315449"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latin typeface="Baskerville Old Face" pitchFamily="18" charset="0"/>
            </a:rPr>
            <a:t>                                             </a:t>
          </a:r>
          <a:r>
            <a:rPr lang="en-US" sz="2400" b="1">
              <a:solidFill>
                <a:schemeClr val="bg1"/>
              </a:solidFill>
              <a:latin typeface="Baskerville Old Face" pitchFamily="18" charset="0"/>
            </a:rPr>
            <a:t>Mercedes Sales Dashboard India</a:t>
          </a:r>
        </a:p>
      </xdr:txBody>
    </xdr:sp>
    <xdr:clientData/>
  </xdr:twoCellAnchor>
  <xdr:twoCellAnchor editAs="oneCell">
    <xdr:from>
      <xdr:col>0</xdr:col>
      <xdr:colOff>314325</xdr:colOff>
      <xdr:row>2</xdr:row>
      <xdr:rowOff>57150</xdr:rowOff>
    </xdr:from>
    <xdr:to>
      <xdr:col>3</xdr:col>
      <xdr:colOff>209550</xdr:colOff>
      <xdr:row>6</xdr:row>
      <xdr:rowOff>38100</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14325" y="438150"/>
          <a:ext cx="1724025" cy="742950"/>
        </a:xfrm>
        <a:prstGeom prst="rect">
          <a:avLst/>
        </a:prstGeom>
      </xdr:spPr>
    </xdr:pic>
    <xdr:clientData/>
  </xdr:twoCellAnchor>
  <xdr:twoCellAnchor>
    <xdr:from>
      <xdr:col>0</xdr:col>
      <xdr:colOff>352425</xdr:colOff>
      <xdr:row>8</xdr:row>
      <xdr:rowOff>38100</xdr:rowOff>
    </xdr:from>
    <xdr:to>
      <xdr:col>3</xdr:col>
      <xdr:colOff>28575</xdr:colOff>
      <xdr:row>12</xdr:row>
      <xdr:rowOff>171450</xdr:rowOff>
    </xdr:to>
    <xdr:sp macro="" textlink="">
      <xdr:nvSpPr>
        <xdr:cNvPr id="14" name="Rectangle 13">
          <a:extLst>
            <a:ext uri="{FF2B5EF4-FFF2-40B4-BE49-F238E27FC236}">
              <a16:creationId xmlns:a16="http://schemas.microsoft.com/office/drawing/2014/main" id="{00000000-0008-0000-0400-00000E000000}"/>
            </a:ext>
          </a:extLst>
        </xdr:cNvPr>
        <xdr:cNvSpPr/>
      </xdr:nvSpPr>
      <xdr:spPr>
        <a:xfrm>
          <a:off x="352425" y="1562100"/>
          <a:ext cx="1504950" cy="895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8</xdr:row>
      <xdr:rowOff>190499</xdr:rowOff>
    </xdr:from>
    <xdr:to>
      <xdr:col>2</xdr:col>
      <xdr:colOff>495300</xdr:colOff>
      <xdr:row>12</xdr:row>
      <xdr:rowOff>142874</xdr:rowOff>
    </xdr:to>
    <xdr:sp macro="" textlink="">
      <xdr:nvSpPr>
        <xdr:cNvPr id="15" name="TextBox 14">
          <a:extLst>
            <a:ext uri="{FF2B5EF4-FFF2-40B4-BE49-F238E27FC236}">
              <a16:creationId xmlns:a16="http://schemas.microsoft.com/office/drawing/2014/main" id="{00000000-0008-0000-0400-00000F000000}"/>
            </a:ext>
          </a:extLst>
        </xdr:cNvPr>
        <xdr:cNvSpPr txBox="1"/>
      </xdr:nvSpPr>
      <xdr:spPr>
        <a:xfrm>
          <a:off x="476250" y="1714499"/>
          <a:ext cx="123825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a:solidFill>
                <a:schemeClr val="bg1"/>
              </a:solidFill>
              <a:latin typeface="Times New Roman" pitchFamily="18" charset="0"/>
              <a:cs typeface="Times New Roman" pitchFamily="18" charset="0"/>
            </a:rPr>
            <a:t>Total sales:</a:t>
          </a:r>
          <a:endParaRPr lang="en-US" sz="1500" b="1" i="0" u="none" strike="noStrike">
            <a:solidFill>
              <a:schemeClr val="bg1"/>
            </a:solidFill>
            <a:effectLst/>
            <a:latin typeface="Times New Roman" pitchFamily="18" charset="0"/>
            <a:ea typeface="+mn-ea"/>
            <a:cs typeface="Times New Roman" pitchFamily="18" charset="0"/>
          </a:endParaRPr>
        </a:p>
        <a:p>
          <a:pPr algn="ctr"/>
          <a:r>
            <a:rPr lang="en-US" sz="1500" b="1" i="0" u="none" strike="noStrike" baseline="0">
              <a:solidFill>
                <a:schemeClr val="bg1"/>
              </a:solidFill>
              <a:effectLst/>
              <a:latin typeface="Times New Roman" pitchFamily="18" charset="0"/>
              <a:ea typeface="+mn-ea"/>
              <a:cs typeface="Times New Roman" pitchFamily="18" charset="0"/>
            </a:rPr>
            <a:t> 400 units</a:t>
          </a:r>
          <a:endParaRPr lang="en-US" sz="1500">
            <a:solidFill>
              <a:schemeClr val="bg1"/>
            </a:solidFill>
            <a:latin typeface="Times New Roman" pitchFamily="18" charset="0"/>
            <a:cs typeface="Times New Roman" pitchFamily="18" charset="0"/>
          </a:endParaRPr>
        </a:p>
      </xdr:txBody>
    </xdr:sp>
    <xdr:clientData/>
  </xdr:twoCellAnchor>
  <xdr:twoCellAnchor>
    <xdr:from>
      <xdr:col>0</xdr:col>
      <xdr:colOff>419101</xdr:colOff>
      <xdr:row>14</xdr:row>
      <xdr:rowOff>180975</xdr:rowOff>
    </xdr:from>
    <xdr:to>
      <xdr:col>2</xdr:col>
      <xdr:colOff>571501</xdr:colOff>
      <xdr:row>18</xdr:row>
      <xdr:rowOff>66675</xdr:rowOff>
    </xdr:to>
    <xdr:sp macro="" textlink="">
      <xdr:nvSpPr>
        <xdr:cNvPr id="16" name="TextBox 15">
          <a:extLst>
            <a:ext uri="{FF2B5EF4-FFF2-40B4-BE49-F238E27FC236}">
              <a16:creationId xmlns:a16="http://schemas.microsoft.com/office/drawing/2014/main" id="{00000000-0008-0000-0400-000010000000}"/>
            </a:ext>
          </a:extLst>
        </xdr:cNvPr>
        <xdr:cNvSpPr txBox="1"/>
      </xdr:nvSpPr>
      <xdr:spPr>
        <a:xfrm>
          <a:off x="419101" y="2847975"/>
          <a:ext cx="13716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a:solidFill>
                <a:schemeClr val="bg1"/>
              </a:solidFill>
              <a:latin typeface="Times New Roman" pitchFamily="18" charset="0"/>
              <a:cs typeface="Times New Roman" pitchFamily="18" charset="0"/>
            </a:rPr>
            <a:t>Total amount:</a:t>
          </a:r>
        </a:p>
        <a:p>
          <a:pPr algn="ctr"/>
          <a:r>
            <a:rPr lang="en-US" sz="1500" b="0" i="0" u="none" strike="noStrike">
              <a:solidFill>
                <a:schemeClr val="bg1"/>
              </a:solidFill>
              <a:effectLst/>
              <a:latin typeface="Times New Roman" pitchFamily="18" charset="0"/>
              <a:ea typeface="+mn-ea"/>
              <a:cs typeface="Times New Roman" pitchFamily="18" charset="0"/>
            </a:rPr>
            <a:t> 4,392,640,587</a:t>
          </a:r>
          <a:r>
            <a:rPr lang="en-US" sz="1500">
              <a:solidFill>
                <a:schemeClr val="bg1"/>
              </a:solidFill>
              <a:latin typeface="Times New Roman" pitchFamily="18" charset="0"/>
              <a:cs typeface="Times New Roman" pitchFamily="18" charset="0"/>
            </a:rPr>
            <a:t> </a:t>
          </a:r>
        </a:p>
      </xdr:txBody>
    </xdr:sp>
    <xdr:clientData/>
  </xdr:twoCellAnchor>
  <xdr:twoCellAnchor>
    <xdr:from>
      <xdr:col>10</xdr:col>
      <xdr:colOff>571500</xdr:colOff>
      <xdr:row>8</xdr:row>
      <xdr:rowOff>19050</xdr:rowOff>
    </xdr:from>
    <xdr:to>
      <xdr:col>18</xdr:col>
      <xdr:colOff>266700</xdr:colOff>
      <xdr:row>21</xdr:row>
      <xdr:rowOff>176212</xdr:rowOff>
    </xdr:to>
    <xdr:graphicFrame macro="">
      <xdr:nvGraphicFramePr>
        <xdr:cNvPr id="18" name="Chart 4">
          <a:extLst>
            <a:ext uri="{FF2B5EF4-FFF2-40B4-BE49-F238E27FC236}">
              <a16:creationId xmlns:a16="http://schemas.microsoft.com/office/drawing/2014/main" id="{00000000-0008-0000-04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523874</xdr:colOff>
      <xdr:row>22</xdr:row>
      <xdr:rowOff>157162</xdr:rowOff>
    </xdr:from>
    <xdr:to>
      <xdr:col>9</xdr:col>
      <xdr:colOff>609599</xdr:colOff>
      <xdr:row>37</xdr:row>
      <xdr:rowOff>42862</xdr:rowOff>
    </xdr:to>
    <xdr:graphicFrame macro="">
      <xdr:nvGraphicFramePr>
        <xdr:cNvPr id="19" name="Chart 5">
          <a:extLst>
            <a:ext uri="{FF2B5EF4-FFF2-40B4-BE49-F238E27FC236}">
              <a16:creationId xmlns:a16="http://schemas.microsoft.com/office/drawing/2014/main" id="{00000000-0008-0000-04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167640</xdr:colOff>
      <xdr:row>23</xdr:row>
      <xdr:rowOff>80962</xdr:rowOff>
    </xdr:from>
    <xdr:to>
      <xdr:col>18</xdr:col>
      <xdr:colOff>95250</xdr:colOff>
      <xdr:row>37</xdr:row>
      <xdr:rowOff>157162</xdr:rowOff>
    </xdr:to>
    <xdr:graphicFrame macro="">
      <xdr:nvGraphicFramePr>
        <xdr:cNvPr id="20" name="Chart 6">
          <a:extLst>
            <a:ext uri="{FF2B5EF4-FFF2-40B4-BE49-F238E27FC236}">
              <a16:creationId xmlns:a16="http://schemas.microsoft.com/office/drawing/2014/main" id="{00000000-0008-0000-04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228601</xdr:colOff>
      <xdr:row>8</xdr:row>
      <xdr:rowOff>47625</xdr:rowOff>
    </xdr:from>
    <xdr:to>
      <xdr:col>9</xdr:col>
      <xdr:colOff>76201</xdr:colOff>
      <xdr:row>21</xdr:row>
      <xdr:rowOff>2857</xdr:rowOff>
    </xdr:to>
    <xdr:graphicFrame macro="">
      <xdr:nvGraphicFramePr>
        <xdr:cNvPr id="21" name="Chart 5">
          <a:extLst>
            <a:ext uri="{FF2B5EF4-FFF2-40B4-BE49-F238E27FC236}">
              <a16:creationId xmlns:a16="http://schemas.microsoft.com/office/drawing/2014/main" id="{00000000-0008-0000-04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57149</xdr:colOff>
      <xdr:row>0</xdr:row>
      <xdr:rowOff>47624</xdr:rowOff>
    </xdr:from>
    <xdr:to>
      <xdr:col>19</xdr:col>
      <xdr:colOff>19050</xdr:colOff>
      <xdr:row>117</xdr:row>
      <xdr:rowOff>152399</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57149" y="47624"/>
          <a:ext cx="11544301" cy="2239327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mj-lt"/>
            </a:rPr>
            <a:t>Mercedes</a:t>
          </a:r>
          <a:r>
            <a:rPr lang="en-US" sz="1800" b="1" baseline="0">
              <a:latin typeface="+mj-lt"/>
            </a:rPr>
            <a:t>  Sales Analysis Report - India</a:t>
          </a:r>
        </a:p>
        <a:p>
          <a:pPr algn="l"/>
          <a:endParaRPr lang="en-US" sz="1800" b="1" baseline="0">
            <a:latin typeface="+mj-lt"/>
          </a:endParaRPr>
        </a:p>
        <a:p>
          <a:pPr algn="l"/>
          <a:r>
            <a:rPr lang="en-US" sz="1400" b="1">
              <a:latin typeface="+mj-lt"/>
            </a:rPr>
            <a:t>Introduction:</a:t>
          </a:r>
        </a:p>
        <a:p>
          <a:pPr algn="l"/>
          <a:r>
            <a:rPr lang="en-US" sz="1200" b="0">
              <a:latin typeface="+mj-lt"/>
            </a:rPr>
            <a:t>This report</a:t>
          </a:r>
          <a:r>
            <a:rPr lang="en-US" sz="1200" b="0" baseline="0">
              <a:latin typeface="+mj-lt"/>
            </a:rPr>
            <a:t> analyzer the sales performance of mercedes cars in india using Excel pivot table and Dashboards. the objective is to study customer behaviour , sales trends, model preference , payment methods , and salesaperson performance.</a:t>
          </a:r>
        </a:p>
        <a:p>
          <a:pPr algn="l"/>
          <a:r>
            <a:rPr lang="en-US" sz="1200" b="0" baseline="0">
              <a:latin typeface="+mj-lt"/>
            </a:rPr>
            <a:t>the dataset was previously having 420 sales record among which 20 are duplicate records which were removed in cleaning data process , now the dataset consist of 400 sales records.</a:t>
          </a:r>
        </a:p>
        <a:p>
          <a:pPr algn="l"/>
          <a:endParaRPr lang="en-US" sz="1200" b="0" baseline="0">
            <a:latin typeface="+mj-lt"/>
          </a:endParaRPr>
        </a:p>
        <a:p>
          <a:pPr algn="l"/>
          <a:r>
            <a:rPr lang="en-US" sz="1400" b="1" baseline="0">
              <a:latin typeface="+mj-lt"/>
            </a:rPr>
            <a:t>overall sales summary:</a:t>
          </a:r>
        </a:p>
        <a:p>
          <a:pPr algn="l"/>
          <a:r>
            <a:rPr lang="en-US" sz="1200" b="0" baseline="0">
              <a:latin typeface="+mj-lt"/>
            </a:rPr>
            <a:t>Total cars sold: 400 Units</a:t>
          </a:r>
        </a:p>
        <a:p>
          <a:pPr algn="l"/>
          <a:r>
            <a:rPr lang="en-US" sz="1200" b="0" baseline="0">
              <a:latin typeface="+mj-lt"/>
            </a:rPr>
            <a:t>Total sales amountt = Rs. 4,392,640,587</a:t>
          </a:r>
        </a:p>
        <a:p>
          <a:pPr algn="l"/>
          <a:endParaRPr lang="en-US" sz="1400" b="1" baseline="0">
            <a:latin typeface="+mj-lt"/>
          </a:endParaRPr>
        </a:p>
        <a:p>
          <a:pPr algn="l"/>
          <a:r>
            <a:rPr lang="en-US" sz="1400" b="1" baseline="0">
              <a:latin typeface="+mj-lt"/>
            </a:rPr>
            <a:t>Customer Category Analysis:</a:t>
          </a:r>
        </a:p>
        <a:p>
          <a:pPr algn="l"/>
          <a:r>
            <a:rPr lang="en-US" sz="1200" b="0" baseline="0">
              <a:latin typeface="+mj-lt"/>
            </a:rPr>
            <a:t>Customers are classified based on car price into four categories:</a:t>
          </a:r>
        </a:p>
        <a:p>
          <a:r>
            <a:rPr lang="en-US" sz="1200">
              <a:latin typeface="+mj-lt"/>
            </a:rPr>
            <a:t>Category                       Number of Customers</a:t>
          </a:r>
        </a:p>
        <a:p>
          <a:r>
            <a:rPr lang="en-US" sz="1200">
              <a:latin typeface="+mj-lt"/>
            </a:rPr>
            <a:t>Budget                                 29</a:t>
          </a:r>
        </a:p>
        <a:p>
          <a:r>
            <a:rPr lang="en-US" sz="1200">
              <a:latin typeface="+mj-lt"/>
            </a:rPr>
            <a:t>Standard                             252</a:t>
          </a:r>
        </a:p>
        <a:p>
          <a:r>
            <a:rPr lang="en-US" sz="1200">
              <a:latin typeface="+mj-lt"/>
            </a:rPr>
            <a:t>Premium                             75</a:t>
          </a:r>
        </a:p>
        <a:p>
          <a:r>
            <a:rPr lang="en-US" sz="1200">
              <a:latin typeface="+mj-lt"/>
            </a:rPr>
            <a:t>Ultra Premium                    44</a:t>
          </a:r>
        </a:p>
        <a:p>
          <a:r>
            <a:rPr lang="en-US" sz="1200" b="1">
              <a:latin typeface="+mj-lt"/>
            </a:rPr>
            <a:t>Key Insight:</a:t>
          </a:r>
        </a:p>
        <a:p>
          <a:r>
            <a:rPr lang="en-US" sz="1200">
              <a:latin typeface="+mj-lt"/>
            </a:rPr>
            <a:t>Most customers belong to the </a:t>
          </a:r>
          <a:r>
            <a:rPr lang="en-US" sz="1200" b="1">
              <a:latin typeface="+mj-lt"/>
            </a:rPr>
            <a:t>Standard category</a:t>
          </a:r>
          <a:r>
            <a:rPr lang="en-US" sz="1200">
              <a:latin typeface="+mj-lt"/>
            </a:rPr>
            <a:t>, indicating high demand for mid-range models.</a:t>
          </a:r>
        </a:p>
        <a:p>
          <a:r>
            <a:rPr lang="en-US" sz="1200">
              <a:latin typeface="+mj-lt"/>
            </a:rPr>
            <a:t>Ultra Premium customers are fewer, showing luxury models are niche products.</a:t>
          </a:r>
        </a:p>
        <a:p>
          <a:endParaRPr lang="en-US" sz="1200"/>
        </a:p>
        <a:p>
          <a:r>
            <a:rPr lang="en-US" sz="1400" b="1">
              <a:latin typeface="+mj-lt"/>
            </a:rPr>
            <a:t>State-wise Model Preference:</a:t>
          </a:r>
        </a:p>
        <a:p>
          <a:r>
            <a:rPr lang="en-US" sz="1200">
              <a:latin typeface="+mj-lt"/>
            </a:rPr>
            <a:t>Sales were analyzed across major states:</a:t>
          </a:r>
        </a:p>
        <a:p>
          <a:r>
            <a:rPr lang="en-US" sz="1200">
              <a:latin typeface="+mj-lt"/>
            </a:rPr>
            <a:t>Delhi</a:t>
          </a:r>
        </a:p>
        <a:p>
          <a:r>
            <a:rPr lang="en-US" sz="1200">
              <a:latin typeface="+mj-lt"/>
            </a:rPr>
            <a:t>Gujarat</a:t>
          </a:r>
        </a:p>
        <a:p>
          <a:r>
            <a:rPr lang="en-US" sz="1200">
              <a:latin typeface="+mj-lt"/>
            </a:rPr>
            <a:t>Karnataka</a:t>
          </a:r>
        </a:p>
        <a:p>
          <a:r>
            <a:rPr lang="en-US" sz="1200">
              <a:latin typeface="+mj-lt"/>
            </a:rPr>
            <a:t>Maharashtra</a:t>
          </a:r>
        </a:p>
        <a:p>
          <a:r>
            <a:rPr lang="en-US" sz="1200">
              <a:latin typeface="+mj-lt"/>
            </a:rPr>
            <a:t>Rajasthan</a:t>
          </a:r>
        </a:p>
        <a:p>
          <a:r>
            <a:rPr lang="en-US" sz="1200">
              <a:latin typeface="+mj-lt"/>
            </a:rPr>
            <a:t>Tamil Nadu</a:t>
          </a:r>
        </a:p>
        <a:p>
          <a:r>
            <a:rPr lang="en-US" sz="1200">
              <a:latin typeface="+mj-lt"/>
            </a:rPr>
            <a:t>Telangana</a:t>
          </a:r>
        </a:p>
        <a:p>
          <a:r>
            <a:rPr lang="en-US" sz="1200" b="1">
              <a:latin typeface="+mj-lt"/>
            </a:rPr>
            <a:t>Observations:</a:t>
          </a:r>
        </a:p>
        <a:p>
          <a:r>
            <a:rPr lang="en-US" sz="1200" b="1">
              <a:latin typeface="+mj-lt"/>
            </a:rPr>
            <a:t>Gujarat and Maharashtra</a:t>
          </a:r>
          <a:r>
            <a:rPr lang="en-US" sz="1200">
              <a:latin typeface="+mj-lt"/>
            </a:rPr>
            <a:t> show the highest sales.</a:t>
          </a:r>
        </a:p>
        <a:p>
          <a:r>
            <a:rPr lang="en-US" sz="1200">
              <a:latin typeface="+mj-lt"/>
            </a:rPr>
            <a:t>Popular models include:</a:t>
          </a:r>
        </a:p>
        <a:p>
          <a:pPr lvl="1"/>
          <a:r>
            <a:rPr lang="en-US" sz="1200">
              <a:latin typeface="+mj-lt"/>
            </a:rPr>
            <a:t>C-Class</a:t>
          </a:r>
        </a:p>
        <a:p>
          <a:pPr lvl="1"/>
          <a:r>
            <a:rPr lang="en-US" sz="1200">
              <a:latin typeface="+mj-lt"/>
            </a:rPr>
            <a:t>E-Class</a:t>
          </a:r>
        </a:p>
        <a:p>
          <a:pPr lvl="1"/>
          <a:r>
            <a:rPr lang="en-US" sz="1200">
              <a:latin typeface="+mj-lt"/>
            </a:rPr>
            <a:t>GLA</a:t>
          </a:r>
        </a:p>
        <a:p>
          <a:pPr lvl="1"/>
          <a:r>
            <a:rPr lang="en-US" sz="1200">
              <a:latin typeface="+mj-lt"/>
            </a:rPr>
            <a:t>AMG Series</a:t>
          </a:r>
        </a:p>
        <a:p>
          <a:r>
            <a:rPr lang="en-US" sz="1200">
              <a:latin typeface="+mj-lt"/>
            </a:rPr>
            <a:t>These models perform consistently across states.</a:t>
          </a:r>
        </a:p>
        <a:p>
          <a:endParaRPr lang="en-US"/>
        </a:p>
        <a:p>
          <a:r>
            <a:rPr lang="en-US" b="1"/>
            <a:t> </a:t>
          </a:r>
          <a:r>
            <a:rPr lang="en-US" sz="1400" b="1">
              <a:latin typeface="+mj-lt"/>
            </a:rPr>
            <a:t>Salesperson Performance:</a:t>
          </a:r>
        </a:p>
        <a:p>
          <a:r>
            <a:rPr lang="en-US" sz="1200">
              <a:latin typeface="+mj-lt"/>
            </a:rPr>
            <a:t>Sales performance of salespersons:</a:t>
          </a:r>
        </a:p>
        <a:p>
          <a:r>
            <a:rPr lang="en-US" sz="1200">
              <a:latin typeface="+mj-lt"/>
            </a:rPr>
            <a:t>Amit Patel</a:t>
          </a:r>
        </a:p>
        <a:p>
          <a:r>
            <a:rPr lang="en-US" sz="1200">
              <a:latin typeface="+mj-lt"/>
            </a:rPr>
            <a:t>Kunal Mehta</a:t>
          </a:r>
        </a:p>
        <a:p>
          <a:r>
            <a:rPr lang="en-US" sz="1200">
              <a:latin typeface="+mj-lt"/>
            </a:rPr>
            <a:t>Rohit Singh</a:t>
          </a:r>
        </a:p>
        <a:p>
          <a:r>
            <a:rPr lang="en-US" sz="1200">
              <a:latin typeface="+mj-lt"/>
            </a:rPr>
            <a:t>Suresh Iyer</a:t>
          </a:r>
        </a:p>
        <a:p>
          <a:r>
            <a:rPr lang="en-US" sz="1200">
              <a:latin typeface="+mj-lt"/>
            </a:rPr>
            <a:t>Vivek Sharma</a:t>
          </a:r>
        </a:p>
        <a:p>
          <a:r>
            <a:rPr lang="en-US" sz="1200" b="1">
              <a:latin typeface="+mj-lt"/>
            </a:rPr>
            <a:t>Key Insight:</a:t>
          </a:r>
        </a:p>
        <a:p>
          <a:r>
            <a:rPr lang="en-US" sz="1200" b="1">
              <a:latin typeface="+mj-lt"/>
            </a:rPr>
            <a:t>Kunal Mehta and Rohit Singh</a:t>
          </a:r>
          <a:r>
            <a:rPr lang="en-US" sz="1200">
              <a:latin typeface="+mj-lt"/>
            </a:rPr>
            <a:t> show the highest contribution.</a:t>
          </a:r>
        </a:p>
        <a:p>
          <a:r>
            <a:rPr lang="en-US" sz="1200">
              <a:latin typeface="+mj-lt"/>
            </a:rPr>
            <a:t>Sales performance varies by state.</a:t>
          </a:r>
        </a:p>
        <a:p>
          <a:r>
            <a:rPr lang="en-US" sz="1200">
              <a:latin typeface="+mj-lt"/>
            </a:rPr>
            <a:t>This indicates the importance of skilled sales staff in improving revenue.</a:t>
          </a:r>
        </a:p>
        <a:p>
          <a:endParaRPr lang="en-US" b="1"/>
        </a:p>
        <a:p>
          <a:r>
            <a:rPr lang="en-US" b="1"/>
            <a:t> </a:t>
          </a:r>
          <a:r>
            <a:rPr lang="en-US" sz="1400" b="1">
              <a:latin typeface="+mj-lt"/>
            </a:rPr>
            <a:t>Payment Mode Analysis:</a:t>
          </a:r>
        </a:p>
        <a:p>
          <a:r>
            <a:rPr lang="en-US" sz="1200">
              <a:latin typeface="+mj-lt"/>
            </a:rPr>
            <a:t>Different payment methods used by customers:</a:t>
          </a:r>
        </a:p>
        <a:p>
          <a:r>
            <a:rPr lang="en-US" sz="1200">
              <a:latin typeface="+mj-lt"/>
            </a:rPr>
            <a:t>Payment Mode          Usage</a:t>
          </a:r>
        </a:p>
        <a:p>
          <a:r>
            <a:rPr lang="en-US" sz="1200">
              <a:latin typeface="+mj-lt"/>
            </a:rPr>
            <a:t>Bank Loan                    High</a:t>
          </a:r>
        </a:p>
        <a:p>
          <a:r>
            <a:rPr lang="en-US" sz="1200">
              <a:latin typeface="+mj-lt"/>
            </a:rPr>
            <a:t>Cash                               Medium</a:t>
          </a:r>
        </a:p>
        <a:p>
          <a:r>
            <a:rPr lang="en-US" sz="1200">
              <a:latin typeface="+mj-lt"/>
            </a:rPr>
            <a:t>Credit Card                   Medium</a:t>
          </a:r>
        </a:p>
        <a:p>
          <a:r>
            <a:rPr lang="en-US" sz="1200">
              <a:latin typeface="+mj-lt"/>
            </a:rPr>
            <a:t>Debit Card                     Medium</a:t>
          </a:r>
        </a:p>
        <a:p>
          <a:r>
            <a:rPr lang="en-US" sz="1200">
              <a:latin typeface="+mj-lt"/>
            </a:rPr>
            <a:t>UPI                                   High</a:t>
          </a:r>
        </a:p>
        <a:p>
          <a:r>
            <a:rPr lang="en-US" sz="1200" b="1">
              <a:latin typeface="+mj-lt"/>
            </a:rPr>
            <a:t>Observation:</a:t>
          </a:r>
        </a:p>
        <a:p>
          <a:r>
            <a:rPr lang="en-US" sz="1200" b="1">
              <a:latin typeface="+mj-lt"/>
            </a:rPr>
            <a:t>Bank Loan and UPI</a:t>
          </a:r>
          <a:r>
            <a:rPr lang="en-US" sz="1200">
              <a:latin typeface="+mj-lt"/>
            </a:rPr>
            <a:t> are the most preferred payment modes.</a:t>
          </a:r>
        </a:p>
        <a:p>
          <a:r>
            <a:rPr lang="en-US" sz="1200">
              <a:latin typeface="+mj-lt"/>
            </a:rPr>
            <a:t>Customers prefer digital and financing options.</a:t>
          </a:r>
        </a:p>
        <a:p>
          <a:endParaRPr lang="en-US" b="1"/>
        </a:p>
        <a:p>
          <a:r>
            <a:rPr lang="en-US" b="1"/>
            <a:t> </a:t>
          </a:r>
          <a:r>
            <a:rPr lang="en-US" sz="1400" b="1">
              <a:latin typeface="+mj-lt"/>
            </a:rPr>
            <a:t>Delivery Days Analysis:</a:t>
          </a:r>
        </a:p>
        <a:p>
          <a:r>
            <a:rPr lang="en-US" sz="1200">
              <a:latin typeface="+mj-lt"/>
            </a:rPr>
            <a:t>Delivery duration was studied based on model:</a:t>
          </a:r>
        </a:p>
        <a:p>
          <a:r>
            <a:rPr lang="en-US" sz="1200">
              <a:latin typeface="+mj-lt"/>
            </a:rPr>
            <a:t>Most deliveries are completed within </a:t>
          </a:r>
          <a:r>
            <a:rPr lang="en-US" sz="1200" b="1">
              <a:latin typeface="+mj-lt"/>
            </a:rPr>
            <a:t>5–25 days</a:t>
          </a:r>
          <a:r>
            <a:rPr lang="en-US" sz="1200">
              <a:latin typeface="+mj-lt"/>
            </a:rPr>
            <a:t>.</a:t>
          </a:r>
        </a:p>
        <a:p>
          <a:r>
            <a:rPr lang="en-US" sz="1200">
              <a:latin typeface="+mj-lt"/>
            </a:rPr>
            <a:t>Premium models take slightly longer.</a:t>
          </a:r>
        </a:p>
        <a:p>
          <a:r>
            <a:rPr lang="en-US" sz="1200">
              <a:latin typeface="+mj-lt"/>
            </a:rPr>
            <a:t>This shows efficient logistics and supply chain management.</a:t>
          </a:r>
        </a:p>
        <a:p>
          <a:endParaRPr lang="en-US"/>
        </a:p>
        <a:p>
          <a:r>
            <a:rPr lang="en-US" b="1"/>
            <a:t> </a:t>
          </a:r>
          <a:r>
            <a:rPr lang="en-US" sz="1400" b="1">
              <a:latin typeface="+mj-lt"/>
            </a:rPr>
            <a:t>Fuel Type Preference by Age:</a:t>
          </a:r>
        </a:p>
        <a:p>
          <a:r>
            <a:rPr lang="en-US" sz="1200">
              <a:latin typeface="+mj-lt"/>
            </a:rPr>
            <a:t>Fuel types analyzed:</a:t>
          </a:r>
        </a:p>
        <a:p>
          <a:r>
            <a:rPr lang="en-US" sz="1200">
              <a:latin typeface="+mj-lt"/>
            </a:rPr>
            <a:t>Diesel</a:t>
          </a:r>
        </a:p>
        <a:p>
          <a:r>
            <a:rPr lang="en-US" sz="1200">
              <a:latin typeface="+mj-lt"/>
            </a:rPr>
            <a:t>Petrol</a:t>
          </a:r>
        </a:p>
        <a:p>
          <a:r>
            <a:rPr lang="en-US" sz="1200">
              <a:latin typeface="+mj-lt"/>
            </a:rPr>
            <a:t>Electric</a:t>
          </a:r>
        </a:p>
        <a:p>
          <a:r>
            <a:rPr lang="en-US" sz="1200">
              <a:latin typeface="+mj-lt"/>
            </a:rPr>
            <a:t>Hybrid</a:t>
          </a:r>
        </a:p>
        <a:p>
          <a:r>
            <a:rPr lang="en-US" sz="1200" b="1">
              <a:latin typeface="+mj-lt"/>
            </a:rPr>
            <a:t>Key Insight:</a:t>
          </a:r>
        </a:p>
        <a:p>
          <a:r>
            <a:rPr lang="en-US" sz="1200" b="1">
              <a:latin typeface="+mj-lt"/>
            </a:rPr>
            <a:t>Petrol and Diesel </a:t>
          </a:r>
          <a:r>
            <a:rPr lang="en-US" sz="1200">
              <a:latin typeface="+mj-lt"/>
            </a:rPr>
            <a:t>dominate.</a:t>
          </a:r>
        </a:p>
        <a:p>
          <a:r>
            <a:rPr lang="en-US" sz="1200">
              <a:latin typeface="+mj-lt"/>
            </a:rPr>
            <a:t>Electric and Hybrid are growing among younger customers.</a:t>
          </a:r>
        </a:p>
        <a:p>
          <a:r>
            <a:rPr lang="en-US" sz="1200">
              <a:latin typeface="+mj-lt"/>
            </a:rPr>
            <a:t>Indicates increasing interest in eco-friendly vehicles.</a:t>
          </a:r>
        </a:p>
        <a:p>
          <a:r>
            <a:rPr lang="en-US" b="1"/>
            <a:t> </a:t>
          </a:r>
        </a:p>
        <a:p>
          <a:r>
            <a:rPr lang="en-US" sz="1400" b="1">
              <a:latin typeface="+mj-lt"/>
            </a:rPr>
            <a:t>Banking &amp; Insurance Partners:</a:t>
          </a:r>
        </a:p>
        <a:p>
          <a:r>
            <a:rPr lang="en-US" sz="1200">
              <a:latin typeface="+mj-lt"/>
            </a:rPr>
            <a:t>Popular banks:</a:t>
          </a:r>
        </a:p>
        <a:p>
          <a:r>
            <a:rPr lang="en-US" sz="1200">
              <a:latin typeface="+mj-lt"/>
            </a:rPr>
            <a:t>Axis Bank</a:t>
          </a:r>
        </a:p>
        <a:p>
          <a:r>
            <a:rPr lang="en-US" sz="1200">
              <a:latin typeface="+mj-lt"/>
            </a:rPr>
            <a:t>HDFC Bank</a:t>
          </a:r>
        </a:p>
        <a:p>
          <a:r>
            <a:rPr lang="en-US" sz="1200">
              <a:latin typeface="+mj-lt"/>
            </a:rPr>
            <a:t>ICICI Bank</a:t>
          </a:r>
        </a:p>
        <a:p>
          <a:r>
            <a:rPr lang="en-US" sz="1200">
              <a:latin typeface="+mj-lt"/>
            </a:rPr>
            <a:t>Kotak Bank</a:t>
          </a:r>
        </a:p>
        <a:p>
          <a:endParaRPr lang="en-US" sz="1200">
            <a:latin typeface="+mj-lt"/>
          </a:endParaRPr>
        </a:p>
        <a:p>
          <a:r>
            <a:rPr lang="en-US" sz="1200">
              <a:latin typeface="+mj-lt"/>
            </a:rPr>
            <a:t>Insurance Providers:</a:t>
          </a:r>
        </a:p>
        <a:p>
          <a:r>
            <a:rPr lang="en-US" sz="1200">
              <a:latin typeface="+mj-lt"/>
            </a:rPr>
            <a:t>Bajaj Allianz</a:t>
          </a:r>
        </a:p>
        <a:p>
          <a:r>
            <a:rPr lang="en-US" sz="1200">
              <a:latin typeface="+mj-lt"/>
            </a:rPr>
            <a:t>HDFC Ergo</a:t>
          </a:r>
        </a:p>
        <a:p>
          <a:r>
            <a:rPr lang="en-US" sz="1200">
              <a:latin typeface="+mj-lt"/>
            </a:rPr>
            <a:t>ICICI Lombard</a:t>
          </a:r>
        </a:p>
        <a:p>
          <a:r>
            <a:rPr lang="en-US" sz="1200">
              <a:latin typeface="+mj-lt"/>
            </a:rPr>
            <a:t>Tata AIG</a:t>
          </a:r>
        </a:p>
        <a:p>
          <a:r>
            <a:rPr lang="en-US" sz="1200" b="1">
              <a:latin typeface="+mj-lt"/>
            </a:rPr>
            <a:t>Observation:</a:t>
          </a:r>
        </a:p>
        <a:p>
          <a:r>
            <a:rPr lang="en-US" sz="1200" b="1">
              <a:latin typeface="+mj-lt"/>
            </a:rPr>
            <a:t>HDFC and ICICI </a:t>
          </a:r>
          <a:r>
            <a:rPr lang="en-US" sz="1200">
              <a:latin typeface="+mj-lt"/>
            </a:rPr>
            <a:t>are major partners.</a:t>
          </a:r>
        </a:p>
        <a:p>
          <a:r>
            <a:rPr lang="en-US" sz="1200">
              <a:latin typeface="+mj-lt"/>
            </a:rPr>
            <a:t>Strong collaboration with financial institutions supports sales.</a:t>
          </a:r>
        </a:p>
        <a:p>
          <a:endParaRPr lang="en-US" b="1"/>
        </a:p>
        <a:p>
          <a:r>
            <a:rPr lang="en-US" sz="1400" b="1">
              <a:latin typeface="+mj-lt"/>
            </a:rPr>
            <a:t> Conclusion:</a:t>
          </a:r>
        </a:p>
        <a:p>
          <a:r>
            <a:rPr lang="en-US" sz="1200">
              <a:latin typeface="+mj-lt"/>
            </a:rPr>
            <a:t>From the analysis, the following conclusions are drawn:</a:t>
          </a:r>
        </a:p>
        <a:p>
          <a:r>
            <a:rPr lang="en-US" sz="1200">
              <a:latin typeface="+mj-lt"/>
            </a:rPr>
            <a:t>-Standard segment dominates Mercedes sales in India.</a:t>
          </a:r>
        </a:p>
        <a:p>
          <a:r>
            <a:rPr lang="en-US" sz="1200">
              <a:latin typeface="+mj-lt"/>
            </a:rPr>
            <a:t>-Gujarat and Maharashtra are top-performing states.</a:t>
          </a:r>
        </a:p>
        <a:p>
          <a:r>
            <a:rPr lang="en-US" sz="1200">
              <a:latin typeface="+mj-lt"/>
            </a:rPr>
            <a:t>-Digital payments and bank loans are most preferred.</a:t>
          </a:r>
        </a:p>
        <a:p>
          <a:r>
            <a:rPr lang="en-US" sz="1200">
              <a:latin typeface="+mj-lt"/>
            </a:rPr>
            <a:t>-Skilled salespersons significantly impact sales.</a:t>
          </a:r>
        </a:p>
        <a:p>
          <a:r>
            <a:rPr lang="en-US" sz="1200">
              <a:latin typeface="+mj-lt"/>
            </a:rPr>
            <a:t>-Demand for electric and hybrid vehicles is increasing.</a:t>
          </a:r>
        </a:p>
        <a:p>
          <a:r>
            <a:rPr lang="en-US" sz="1200">
              <a:latin typeface="+mj-lt"/>
            </a:rPr>
            <a:t>-Overall, Mercedes shows </a:t>
          </a:r>
          <a:r>
            <a:rPr lang="en-US" sz="1200" b="1" u="none">
              <a:solidFill>
                <a:sysClr val="windowText" lastClr="000000"/>
              </a:solidFill>
              <a:latin typeface="+mj-lt"/>
            </a:rPr>
            <a:t>strong growth </a:t>
          </a:r>
          <a:r>
            <a:rPr lang="en-US" sz="1200">
              <a:latin typeface="+mj-lt"/>
            </a:rPr>
            <a:t>potential in India.</a:t>
          </a:r>
        </a:p>
        <a:p>
          <a:endParaRPr lang="en-US" b="1"/>
        </a:p>
        <a:p>
          <a:r>
            <a:rPr lang="en-US" sz="1400" b="1">
              <a:latin typeface="+mj-lt"/>
            </a:rPr>
            <a:t> Recommendations:</a:t>
          </a:r>
        </a:p>
        <a:p>
          <a:r>
            <a:rPr lang="en-US" sz="1200">
              <a:latin typeface="+mj-lt"/>
            </a:rPr>
            <a:t>To improve future performance:</a:t>
          </a:r>
        </a:p>
        <a:p>
          <a:r>
            <a:rPr lang="en-US" sz="1200">
              <a:latin typeface="+mj-lt"/>
            </a:rPr>
            <a:t>-Increase focus on Standard and Premium segments</a:t>
          </a:r>
        </a:p>
        <a:p>
          <a:r>
            <a:rPr lang="en-US" sz="1200">
              <a:latin typeface="+mj-lt"/>
            </a:rPr>
            <a:t>-Promote Electric and Hybrid models</a:t>
          </a:r>
          <a:br>
            <a:rPr lang="en-US" sz="1200">
              <a:latin typeface="+mj-lt"/>
            </a:rPr>
          </a:br>
          <a:r>
            <a:rPr lang="en-US" sz="1200">
              <a:latin typeface="+mj-lt"/>
            </a:rPr>
            <a:t>-Strengthen online payment systems</a:t>
          </a:r>
          <a:br>
            <a:rPr lang="en-US" sz="1200">
              <a:latin typeface="+mj-lt"/>
            </a:rPr>
          </a:br>
          <a:r>
            <a:rPr lang="en-US" sz="1200">
              <a:latin typeface="+mj-lt"/>
            </a:rPr>
            <a:t>-Provide training to sales staff</a:t>
          </a:r>
          <a:br>
            <a:rPr lang="en-US" sz="1200">
              <a:latin typeface="+mj-lt"/>
            </a:rPr>
          </a:br>
          <a:r>
            <a:rPr lang="en-US" sz="1200">
              <a:latin typeface="+mj-lt"/>
            </a:rPr>
            <a:t>-Expand presence in high-performing states</a:t>
          </a:r>
        </a:p>
        <a:p>
          <a:endParaRPr lang="en-US"/>
        </a:p>
        <a:p>
          <a:endParaRPr lang="en-US"/>
        </a:p>
        <a:p>
          <a:endParaRPr lang="en-US"/>
        </a:p>
        <a:p>
          <a:endParaRPr lang="en-US" sz="1200"/>
        </a:p>
        <a:p>
          <a:pPr algn="l"/>
          <a:r>
            <a:rPr lang="en-US" sz="1200" b="0" baseline="0">
              <a:latin typeface="+mj-lt"/>
            </a:rPr>
            <a:t> </a:t>
          </a:r>
        </a:p>
        <a:p>
          <a:pPr algn="l"/>
          <a:endParaRPr lang="en-US" sz="1200" b="0" baseline="0">
            <a:latin typeface="+mj-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refreshedDate="46062.819208333334" createdVersion="4" refreshedVersion="4" minRefreshableVersion="3" recordCount="421" xr:uid="{00000000-000A-0000-FFFF-FFFF00000000}">
  <cacheSource type="worksheet">
    <worksheetSource ref="A1:T1048576" sheet="clean dataset"/>
  </cacheSource>
  <cacheFields count="20">
    <cacheField name="Invoice_ID" numFmtId="0">
      <sharedItems containsString="0" containsBlank="1" containsNumber="1" containsInteger="1" minValue="1001" maxValue="1400"/>
    </cacheField>
    <cacheField name="Customer_Name" numFmtId="0">
      <sharedItems containsBlank="1"/>
    </cacheField>
    <cacheField name="Gender" numFmtId="0">
      <sharedItems containsBlank="1" count="3">
        <s v="Male"/>
        <s v="Female"/>
        <m/>
      </sharedItems>
    </cacheField>
    <cacheField name="Age" numFmtId="0">
      <sharedItems containsString="0" containsBlank="1" containsNumber="1" containsInteger="1" minValue="25" maxValue="60" count="37">
        <n v="52"/>
        <n v="50"/>
        <n v="60"/>
        <n v="29"/>
        <n v="51"/>
        <n v="39"/>
        <n v="33"/>
        <n v="54"/>
        <n v="56"/>
        <n v="45"/>
        <n v="37"/>
        <n v="53"/>
        <n v="46"/>
        <n v="44"/>
        <n v="42"/>
        <n v="27"/>
        <n v="36"/>
        <n v="47"/>
        <n v="30"/>
        <n v="41"/>
        <n v="55"/>
        <n v="32"/>
        <n v="49"/>
        <n v="31"/>
        <n v="48"/>
        <n v="59"/>
        <n v="35"/>
        <n v="28"/>
        <n v="34"/>
        <n v="25"/>
        <n v="38"/>
        <n v="40"/>
        <n v="58"/>
        <n v="57"/>
        <n v="26"/>
        <n v="43"/>
        <m/>
      </sharedItems>
    </cacheField>
    <cacheField name="Model" numFmtId="0">
      <sharedItems containsBlank="1" count="11">
        <s v="GLA"/>
        <s v="AMG C43"/>
        <s v="AMG G63"/>
        <s v="S-Class"/>
        <s v="GLB"/>
        <s v="E-Class"/>
        <s v="GLC"/>
        <s v="A-Class"/>
        <s v="C-Class"/>
        <s v="GLE"/>
        <m/>
      </sharedItems>
    </cacheField>
    <cacheField name="Fuel_Type" numFmtId="0">
      <sharedItems containsBlank="1" count="5">
        <s v="Electric"/>
        <s v="Diesel"/>
        <s v="Petrol"/>
        <s v="Hybrid"/>
        <m/>
      </sharedItems>
    </cacheField>
    <cacheField name="City" numFmtId="0">
      <sharedItems containsBlank="1" count="11">
        <s v="Vadodara"/>
        <s v="Jaipur"/>
        <s v="Surat"/>
        <s v="Hyderabad"/>
        <s v="Chennai"/>
        <s v="Delhi"/>
        <s v="Bangalore"/>
        <s v="Ahmedabad"/>
        <s v="Mumbai"/>
        <s v="Pune"/>
        <m/>
      </sharedItems>
    </cacheField>
    <cacheField name="State" numFmtId="0">
      <sharedItems containsBlank="1" count="8">
        <s v="Gujarat"/>
        <s v="Rajasthan"/>
        <s v="Telangana"/>
        <s v="Tamil Nadu"/>
        <s v="Delhi"/>
        <s v="Karnataka"/>
        <s v="Maharashtra"/>
        <m/>
      </sharedItems>
    </cacheField>
    <cacheField name="Salesperson" numFmtId="0">
      <sharedItems containsBlank="1" count="6">
        <s v="Kunal Mehta"/>
        <s v="Suresh Iyer"/>
        <s v="Rohit Singh"/>
        <s v="Amit Patel"/>
        <s v="Vivek Sharma"/>
        <m/>
      </sharedItems>
    </cacheField>
    <cacheField name="Branch" numFmtId="0">
      <sharedItems containsBlank="1"/>
    </cacheField>
    <cacheField name="Sale_Date" numFmtId="14">
      <sharedItems containsBlank="1" count="322">
        <s v="2023-10-08"/>
        <s v="2024-11-30"/>
        <s v="2024-04-03"/>
        <s v="2024-04-05"/>
        <s v="2024-06-08"/>
        <s v="2023-01-16"/>
        <s v="2023-03-30"/>
        <s v="2024-06-28"/>
        <s v="2023-08-02"/>
        <s v="2023-06-20"/>
        <s v="2023-08-19"/>
        <s v="2024-09-21"/>
        <s v="2024-03-01"/>
        <s v="2024-06-30"/>
        <s v="2023-09-18"/>
        <s v="2024-06-11"/>
        <s v="2023-12-02"/>
        <s v="2023-06-25"/>
        <s v="2023-12-23"/>
        <s v="2024-05-04"/>
        <s v="2023-07-19"/>
        <s v="2024-11-02"/>
        <s v="2023-10-11"/>
        <s v="2024-04-13"/>
        <s v="2025-01-31"/>
        <s v="2024-02-18"/>
        <s v="2025-05-20"/>
        <s v="2025-02-20"/>
        <s v="2025-04-27"/>
        <s v="2023-01-23"/>
        <s v="2023-03-20"/>
        <s v="2024-09-18"/>
        <s v="2025-03-20"/>
        <s v="2023-02-11"/>
        <s v="2024-08-19"/>
        <s v="2023-11-04"/>
        <s v="2024-01-11"/>
        <s v="2025-04-30"/>
        <s v="2025-03-10"/>
        <s v="2024-09-04"/>
        <s v="2024-04-15"/>
        <s v="2023-07-09"/>
        <s v="2024-10-17"/>
        <s v="2024-11-18"/>
        <s v="2023-11-15"/>
        <s v="2025-05-24"/>
        <s v="2024-05-22"/>
        <s v="2024-05-19"/>
        <s v="2024-07-28"/>
        <s v="2025-06-15"/>
        <s v="2025-03-15"/>
        <s v="2024-12-13"/>
        <s v="2024-12-21"/>
        <s v="2025-03-31"/>
        <s v="2024-06-22"/>
        <s v="2023-04-21"/>
        <s v="2024-07-30"/>
        <s v="2024-01-22"/>
        <s v="2025-05-29"/>
        <s v="2024-09-14"/>
        <s v="2023-11-12"/>
        <s v="2025-03-05"/>
        <s v="2024-06-09"/>
        <s v="2025-04-23"/>
        <s v="2025-03-14"/>
        <s v="2024-01-27"/>
        <s v="2023-06-18"/>
        <s v="2024-06-26"/>
        <s v="2025-04-11"/>
        <s v="2023-12-17"/>
        <s v="2025-01-06"/>
        <s v="2024-06-15"/>
        <s v="2024-09-30"/>
        <s v="2023-09-15"/>
        <s v="2024-04-19"/>
        <s v="2023-04-08"/>
        <s v="2023-10-31"/>
        <s v="2024-07-13"/>
        <s v="2024-11-08"/>
        <s v="2023-07-03"/>
        <s v="2023-06-01"/>
        <s v="2023-01-31"/>
        <s v="2023-11-07"/>
        <s v="2024-10-12"/>
        <s v="2023-02-10"/>
        <s v="2024-12-26"/>
        <s v="2024-03-07"/>
        <s v="2025-03-13"/>
        <s v="2023-12-26"/>
        <s v="2024-10-02"/>
        <s v="2023-02-24"/>
        <s v="2023-10-01"/>
        <s v="2024-12-16"/>
        <s v="2023-08-01"/>
        <s v="2025-06-06"/>
        <s v="2023-03-07"/>
        <s v="2024-04-26"/>
        <s v="2025-01-24"/>
        <s v="2023-02-21"/>
        <s v="2023-10-17"/>
        <s v="2025-06-17"/>
        <s v="2023-08-14"/>
        <s v="2023-04-17"/>
        <s v="2023-07-25"/>
        <s v="2023-12-15"/>
        <s v="2025-05-25"/>
        <s v="2023-10-20"/>
        <s v="2023-12-05"/>
        <s v="2023-02-01"/>
        <s v="2023-08-28"/>
        <s v="2024-09-17"/>
        <s v="2023-08-22"/>
        <s v="2023-09-25"/>
        <s v="2023-01-01"/>
        <s v="2024-04-01"/>
        <s v="2023-03-04"/>
        <s v="2023-02-14"/>
        <s v="2024-03-24"/>
        <s v="2024-12-10"/>
        <s v="2025-03-21"/>
        <s v="2023-06-14"/>
        <s v="2025-05-08"/>
        <s v="2024-05-20"/>
        <s v="2024-01-10"/>
        <s v="2025-04-04"/>
        <s v="2024-02-08"/>
        <s v="2023-02-12"/>
        <s v="2023-10-19"/>
        <s v="2023-05-27"/>
        <s v="2023-06-11"/>
        <s v="2023-11-16"/>
        <s v="2025-03-02"/>
        <s v="2023-05-25"/>
        <s v="2023-05-23"/>
        <s v="2023-03-12"/>
        <s v="2024-06-12"/>
        <s v="2023-11-14"/>
        <s v="2024-03-30"/>
        <s v="2023-12-07"/>
        <s v="2025-01-28"/>
        <s v="2024-01-28"/>
        <s v="2024-10-11"/>
        <s v="2023-02-28"/>
        <s v="2023-05-20"/>
        <s v="2023-08-26"/>
        <s v="2023-07-26"/>
        <s v="2024-05-28"/>
        <s v="2023-11-11"/>
        <s v="2025-06-09"/>
        <s v="2023-05-28"/>
        <s v="2023-10-05"/>
        <s v="2025-06-08"/>
        <s v="2023-04-14"/>
        <s v="2024-01-26"/>
        <s v="2025-03-22"/>
        <s v="2024-02-14"/>
        <s v="2024-09-16"/>
        <s v="2025-04-08"/>
        <s v="2023-01-14"/>
        <s v="2023-07-01"/>
        <s v="2024-05-26"/>
        <s v="2025-06-16"/>
        <s v="2023-02-27"/>
        <s v="2023-10-15"/>
        <s v="2024-10-05"/>
        <s v="2024-09-10"/>
        <s v="2023-05-07"/>
        <s v="2023-12-09"/>
        <s v="2024-06-04"/>
        <s v="2025-04-05"/>
        <s v="2024-12-24"/>
        <s v="2023-10-07"/>
        <s v="2025-05-28"/>
        <s v="2024-08-17"/>
        <s v="2023-01-29"/>
        <s v="2023-09-28"/>
        <s v="2025-04-07"/>
        <s v="2025-06-10"/>
        <s v="2023-11-27"/>
        <s v="2025-02-08"/>
        <s v="2024-12-14"/>
        <s v="2024-04-06"/>
        <s v="2023-08-04"/>
        <s v="2024-03-25"/>
        <s v="2024-01-05"/>
        <s v="2023-07-21"/>
        <s v="2023-07-28"/>
        <s v="2024-07-17"/>
        <s v="2023-07-12"/>
        <s v="2023-07-20"/>
        <s v="2025-05-01"/>
        <s v="2024-06-25"/>
        <s v="2024-03-29"/>
        <s v="2023-05-03"/>
        <s v="2024-04-09"/>
        <s v="2025-05-11"/>
        <s v="2024-04-14"/>
        <s v="2024-06-24"/>
        <s v="2023-09-29"/>
        <s v="2023-08-16"/>
        <s v="2023-07-06"/>
        <s v="2023-03-14"/>
        <s v="2025-06-13"/>
        <s v="2025-04-28"/>
        <s v="2023-01-07"/>
        <s v="2023-04-24"/>
        <s v="2023-11-08"/>
        <s v="2025-01-09"/>
        <s v="2024-08-03"/>
        <s v="2023-04-20"/>
        <s v="2024-10-28"/>
        <s v="2024-02-06"/>
        <s v="2023-02-04"/>
        <s v="2025-05-19"/>
        <s v="2025-02-21"/>
        <s v="2025-02-01"/>
        <s v="2023-01-27"/>
        <s v="2025-05-23"/>
        <s v="2024-07-22"/>
        <s v="2023-03-03"/>
        <s v="2023-02-20"/>
        <s v="2024-09-29"/>
        <s v="2024-01-01"/>
        <s v="2025-05-05"/>
        <s v="2024-08-22"/>
        <s v="2023-04-19"/>
        <s v="2023-12-16"/>
        <s v="2024-08-04"/>
        <s v="2025-03-23"/>
        <s v="2023-01-18"/>
        <s v="2024-01-19"/>
        <s v="2023-12-29"/>
        <s v="2023-05-05"/>
        <s v="2024-03-21"/>
        <s v="2023-06-06"/>
        <s v="2023-11-17"/>
        <s v="2025-05-31"/>
        <s v="2023-08-09"/>
        <s v="2023-08-18"/>
        <s v="2023-05-26"/>
        <s v="2023-05-09"/>
        <s v="2023-03-08"/>
        <s v="2023-03-01"/>
        <s v="2024-08-12"/>
        <s v="2023-12-27"/>
        <s v="2023-02-13"/>
        <s v="2024-11-14"/>
        <s v="2023-11-03"/>
        <s v="2023-03-29"/>
        <s v="2025-01-11"/>
        <s v="2023-05-13"/>
        <s v="2023-01-15"/>
        <s v="2025-01-03"/>
        <s v="2023-03-26"/>
        <s v="2024-04-08"/>
        <s v="2023-03-09"/>
        <s v="2024-10-13"/>
        <s v="2024-10-30"/>
        <s v="2025-02-13"/>
        <s v="2024-03-11"/>
        <s v="2025-03-16"/>
        <s v="2024-11-09"/>
        <s v="2024-06-10"/>
        <s v="2023-07-18"/>
        <s v="2023-03-28"/>
        <s v="2025-04-20"/>
        <s v="2024-11-07"/>
        <s v="2023-09-22"/>
        <s v="2023-03-25"/>
        <s v="2025-01-18"/>
        <s v="2024-02-07"/>
        <s v="2024-03-23"/>
        <s v="2024-09-07"/>
        <s v="2024-06-19"/>
        <s v="2025-01-14"/>
        <s v="2024-07-21"/>
        <s v="2024-01-03"/>
        <s v="2023-07-07"/>
        <s v="2024-03-28"/>
        <s v="2023-11-23"/>
        <s v="2023-04-01"/>
        <s v="2023-05-15"/>
        <s v="2023-09-08"/>
        <s v="2024-04-11"/>
        <s v="2024-04-25"/>
        <s v="2023-07-17"/>
        <s v="2025-03-17"/>
        <s v="2023-05-24"/>
        <s v="2024-06-07"/>
        <s v="2023-05-11"/>
        <s v="2023-01-26"/>
        <s v="2025-06-18"/>
        <s v="2024-03-19"/>
        <s v="2023-09-19"/>
        <s v="2024-02-17"/>
        <s v="2023-05-17"/>
        <s v="2024-11-26"/>
        <s v="2024-08-10"/>
        <s v="2024-05-14"/>
        <s v="2023-11-30"/>
        <s v="2025-02-16"/>
        <s v="2024-09-05"/>
        <s v="2024-08-13"/>
        <s v="2024-12-23"/>
        <s v="2023-04-28"/>
        <s v="2024-08-09"/>
        <s v="2024-07-23"/>
        <s v="2023-06-07"/>
        <s v="2025-05-14"/>
        <s v="2024-08-26"/>
        <s v="2025-02-12"/>
        <s v="2024-06-18"/>
        <s v="2023-04-02"/>
        <s v="2024-10-19"/>
        <s v="2025-02-14"/>
        <s v="2024-02-24"/>
        <s v="2024-02-25"/>
        <s v="2025-04-01"/>
        <s v="2023-11-13"/>
        <s v="2024-12-19"/>
        <s v="2024-08-27"/>
        <m/>
      </sharedItems>
    </cacheField>
    <cacheField name="Payment_Mode" numFmtId="0">
      <sharedItems containsBlank="1" count="6">
        <s v="Debit Card"/>
        <s v="UPI"/>
        <s v="Bank Loan"/>
        <s v="Cash"/>
        <s v="Credit Card"/>
        <m/>
      </sharedItems>
    </cacheField>
    <cacheField name="Bank_Name" numFmtId="0">
      <sharedItems containsBlank="1" count="6">
        <s v="ICICI Bank"/>
        <s v="SBI"/>
        <s v="Axis Bank"/>
        <s v="HDFC Bank"/>
        <s v="Kotak Bank"/>
        <m/>
      </sharedItems>
    </cacheField>
    <cacheField name="Loan_Approved" numFmtId="0">
      <sharedItems containsBlank="1"/>
    </cacheField>
    <cacheField name="Warranty_Years" numFmtId="0">
      <sharedItems containsString="0" containsBlank="1" containsNumber="1" containsInteger="1" minValue="2" maxValue="5"/>
    </cacheField>
    <cacheField name="Insurance_Provider" numFmtId="0">
      <sharedItems containsBlank="1" count="5">
        <s v="HDFC Ergo"/>
        <s v="Bajaj Allianz"/>
        <s v="ICICI Lombard"/>
        <s v="Tata AIG"/>
        <m/>
      </sharedItems>
    </cacheField>
    <cacheField name="Delivery_Days" numFmtId="0">
      <sharedItems containsString="0" containsBlank="1" containsNumber="1" containsInteger="1" minValue="5" maxValue="25" count="22">
        <n v="24"/>
        <n v="21"/>
        <n v="14"/>
        <n v="12"/>
        <n v="22"/>
        <n v="6"/>
        <n v="23"/>
        <n v="16"/>
        <n v="18"/>
        <n v="19"/>
        <n v="25"/>
        <n v="5"/>
        <n v="13"/>
        <n v="15"/>
        <n v="8"/>
        <n v="20"/>
        <n v="9"/>
        <n v="7"/>
        <n v="11"/>
        <n v="10"/>
        <n v="17"/>
        <m/>
      </sharedItems>
    </cacheField>
    <cacheField name="Discount_INR" numFmtId="165">
      <sharedItems containsString="0" containsBlank="1" containsNumber="1" containsInteger="1" minValue="50224" maxValue="299905" count="401">
        <n v="291256"/>
        <n v="94767"/>
        <n v="284831"/>
        <n v="251959"/>
        <n v="58726"/>
        <n v="231295"/>
        <n v="281298"/>
        <n v="267390"/>
        <n v="251721"/>
        <n v="235444"/>
        <n v="164128"/>
        <n v="105039"/>
        <n v="242961"/>
        <n v="89961"/>
        <n v="107476"/>
        <n v="100257"/>
        <n v="88063"/>
        <n v="68462"/>
        <n v="157232"/>
        <n v="288545"/>
        <n v="141395"/>
        <n v="114057"/>
        <n v="271605"/>
        <n v="112956"/>
        <n v="81891"/>
        <n v="276004"/>
        <n v="222134"/>
        <n v="106965"/>
        <n v="175863"/>
        <n v="230808"/>
        <n v="139232"/>
        <n v="137388"/>
        <n v="224132"/>
        <n v="180119"/>
        <n v="279171"/>
        <n v="140891"/>
        <n v="194311"/>
        <n v="66477"/>
        <n v="75064"/>
        <n v="130840"/>
        <n v="153368"/>
        <n v="77299"/>
        <n v="221608"/>
        <n v="185652"/>
        <n v="280160"/>
        <n v="93096"/>
        <n v="224366"/>
        <n v="182668"/>
        <n v="154578"/>
        <n v="54339"/>
        <n v="53349"/>
        <n v="261054"/>
        <n v="50224"/>
        <n v="247082"/>
        <n v="63492"/>
        <n v="266404"/>
        <n v="127482"/>
        <n v="73860"/>
        <n v="159821"/>
        <n v="278601"/>
        <n v="259714"/>
        <n v="199323"/>
        <n v="234788"/>
        <n v="221136"/>
        <n v="189991"/>
        <n v="177976"/>
        <n v="259483"/>
        <n v="224212"/>
        <n v="141842"/>
        <n v="267785"/>
        <n v="130076"/>
        <n v="198702"/>
        <n v="175719"/>
        <n v="254412"/>
        <n v="211692"/>
        <n v="83614"/>
        <n v="245440"/>
        <n v="68634"/>
        <n v="110821"/>
        <n v="114859"/>
        <n v="59388"/>
        <n v="122798"/>
        <n v="56647"/>
        <n v="56968"/>
        <n v="202161"/>
        <n v="122044"/>
        <n v="223468"/>
        <n v="254653"/>
        <n v="211713"/>
        <n v="174466"/>
        <n v="195100"/>
        <n v="96394"/>
        <n v="232470"/>
        <n v="202985"/>
        <n v="125360"/>
        <n v="91231"/>
        <n v="154885"/>
        <n v="288990"/>
        <n v="261790"/>
        <n v="142915"/>
        <n v="171839"/>
        <n v="274381"/>
        <n v="209331"/>
        <n v="193743"/>
        <n v="81867"/>
        <n v="249852"/>
        <n v="149499"/>
        <n v="122251"/>
        <n v="115371"/>
        <n v="71674"/>
        <n v="295396"/>
        <n v="260635"/>
        <n v="143853"/>
        <n v="198759"/>
        <n v="299704"/>
        <n v="166083"/>
        <n v="91931"/>
        <n v="80695"/>
        <n v="254092"/>
        <n v="291206"/>
        <n v="215082"/>
        <n v="259196"/>
        <n v="66037"/>
        <n v="183254"/>
        <n v="171942"/>
        <n v="189811"/>
        <n v="53045"/>
        <n v="199318"/>
        <n v="88162"/>
        <n v="297073"/>
        <n v="114399"/>
        <n v="126741"/>
        <n v="230820"/>
        <n v="294261"/>
        <n v="249659"/>
        <n v="168730"/>
        <n v="168408"/>
        <n v="258088"/>
        <n v="221031"/>
        <n v="183942"/>
        <n v="207969"/>
        <n v="103081"/>
        <n v="250893"/>
        <n v="60272"/>
        <n v="222475"/>
        <n v="52067"/>
        <n v="216817"/>
        <n v="62973"/>
        <n v="98842"/>
        <n v="249716"/>
        <n v="281887"/>
        <n v="265981"/>
        <n v="80414"/>
        <n v="173787"/>
        <n v="110905"/>
        <n v="169630"/>
        <n v="99369"/>
        <n v="73117"/>
        <n v="189095"/>
        <n v="195142"/>
        <n v="290342"/>
        <n v="66352"/>
        <n v="220770"/>
        <n v="258450"/>
        <n v="178085"/>
        <n v="60017"/>
        <n v="61660"/>
        <n v="180293"/>
        <n v="211101"/>
        <n v="153025"/>
        <n v="287025"/>
        <n v="92549"/>
        <n v="285743"/>
        <n v="69079"/>
        <n v="167241"/>
        <n v="180382"/>
        <n v="119292"/>
        <n v="61440"/>
        <n v="121922"/>
        <n v="92380"/>
        <n v="53280"/>
        <n v="279187"/>
        <n v="203243"/>
        <n v="215247"/>
        <n v="80094"/>
        <n v="160120"/>
        <n v="50999"/>
        <n v="200978"/>
        <n v="122384"/>
        <n v="138803"/>
        <n v="203240"/>
        <n v="104452"/>
        <n v="121601"/>
        <n v="128724"/>
        <n v="192645"/>
        <n v="213986"/>
        <n v="82212"/>
        <n v="232860"/>
        <n v="100620"/>
        <n v="205515"/>
        <n v="88037"/>
        <n v="214754"/>
        <n v="298686"/>
        <n v="197086"/>
        <n v="194041"/>
        <n v="131019"/>
        <n v="147549"/>
        <n v="192862"/>
        <n v="129691"/>
        <n v="99585"/>
        <n v="135963"/>
        <n v="281999"/>
        <n v="164858"/>
        <n v="270400"/>
        <n v="99105"/>
        <n v="142943"/>
        <n v="174526"/>
        <n v="84230"/>
        <n v="157623"/>
        <n v="79593"/>
        <n v="165178"/>
        <n v="151502"/>
        <n v="248487"/>
        <n v="144904"/>
        <n v="223451"/>
        <n v="129094"/>
        <n v="160615"/>
        <n v="251720"/>
        <n v="58192"/>
        <n v="194308"/>
        <n v="161504"/>
        <n v="89584"/>
        <n v="206505"/>
        <n v="81240"/>
        <n v="187907"/>
        <n v="124795"/>
        <n v="59978"/>
        <n v="279201"/>
        <n v="221699"/>
        <n v="221274"/>
        <n v="289952"/>
        <n v="189750"/>
        <n v="166445"/>
        <n v="54755"/>
        <n v="58872"/>
        <n v="130225"/>
        <n v="170170"/>
        <n v="120998"/>
        <n v="294493"/>
        <n v="299905"/>
        <n v="165571"/>
        <n v="196038"/>
        <n v="76093"/>
        <n v="64773"/>
        <n v="290293"/>
        <n v="265715"/>
        <n v="193275"/>
        <n v="101719"/>
        <n v="244801"/>
        <n v="53646"/>
        <n v="258381"/>
        <n v="289250"/>
        <n v="94911"/>
        <n v="77848"/>
        <n v="64181"/>
        <n v="99668"/>
        <n v="198785"/>
        <n v="128524"/>
        <n v="70869"/>
        <n v="298945"/>
        <n v="230302"/>
        <n v="127654"/>
        <n v="221780"/>
        <n v="87432"/>
        <n v="158985"/>
        <n v="112826"/>
        <n v="71163"/>
        <n v="256817"/>
        <n v="265449"/>
        <n v="149591"/>
        <n v="249088"/>
        <n v="102017"/>
        <n v="67176"/>
        <n v="58194"/>
        <n v="209767"/>
        <n v="221318"/>
        <n v="256535"/>
        <n v="191783"/>
        <n v="183325"/>
        <n v="95412"/>
        <n v="220795"/>
        <n v="230594"/>
        <n v="193139"/>
        <n v="151413"/>
        <n v="74501"/>
        <n v="54166"/>
        <n v="201611"/>
        <n v="141147"/>
        <n v="205242"/>
        <n v="115036"/>
        <n v="166559"/>
        <n v="227723"/>
        <n v="183977"/>
        <n v="110317"/>
        <n v="190470"/>
        <n v="298120"/>
        <n v="189708"/>
        <n v="125135"/>
        <n v="176100"/>
        <n v="57020"/>
        <n v="235229"/>
        <n v="260846"/>
        <n v="179427"/>
        <n v="79754"/>
        <n v="155517"/>
        <n v="219721"/>
        <n v="164414"/>
        <n v="156838"/>
        <n v="129788"/>
        <n v="286839"/>
        <n v="211194"/>
        <n v="103722"/>
        <n v="115620"/>
        <n v="158308"/>
        <n v="82215"/>
        <n v="114175"/>
        <n v="291916"/>
        <n v="242221"/>
        <n v="273131"/>
        <n v="221711"/>
        <n v="265664"/>
        <n v="119735"/>
        <n v="233029"/>
        <n v="80683"/>
        <n v="130838"/>
        <n v="252153"/>
        <n v="106002"/>
        <n v="209957"/>
        <n v="162767"/>
        <n v="195166"/>
        <n v="264125"/>
        <n v="194216"/>
        <n v="259008"/>
        <n v="161650"/>
        <n v="193469"/>
        <n v="167764"/>
        <n v="275788"/>
        <n v="180598"/>
        <n v="86410"/>
        <n v="127688"/>
        <n v="291687"/>
        <n v="281741"/>
        <n v="143241"/>
        <n v="128757"/>
        <n v="293753"/>
        <n v="93359"/>
        <n v="160463"/>
        <n v="101794"/>
        <n v="128268"/>
        <n v="159236"/>
        <n v="277847"/>
        <n v="195251"/>
        <n v="293685"/>
        <n v="105155"/>
        <n v="274965"/>
        <n v="89911"/>
        <n v="161841"/>
        <n v="185595"/>
        <n v="138842"/>
        <n v="259423"/>
        <n v="233109"/>
        <n v="76745"/>
        <n v="227775"/>
        <n v="145727"/>
        <n v="125674"/>
        <n v="175446"/>
        <n v="262840"/>
        <n v="292762"/>
        <n v="291058"/>
        <n v="252036"/>
        <n v="152323"/>
        <n v="77381"/>
        <n v="246177"/>
        <n v="150013"/>
        <n v="262801"/>
        <n v="128976"/>
        <n v="184503"/>
        <n v="111893"/>
        <n v="127935"/>
        <n v="220700"/>
        <n v="278356"/>
        <n v="86696"/>
        <n v="145511"/>
        <n v="240738"/>
        <n v="245721"/>
        <n v="206987"/>
        <n v="175588"/>
        <n v="244918"/>
        <n v="97228"/>
        <n v="101567"/>
        <m/>
      </sharedItems>
    </cacheField>
    <cacheField name="Tax_INR" numFmtId="165">
      <sharedItems containsString="0" containsBlank="1" containsNumber="1" containsInteger="1" minValue="702000" maxValue="5760000" count="11">
        <n v="756000"/>
        <n v="1764000"/>
        <n v="5760000"/>
        <n v="2250000"/>
        <n v="846000"/>
        <n v="1224000"/>
        <n v="1098000"/>
        <n v="702000"/>
        <n v="936000"/>
        <n v="1350000"/>
        <m/>
      </sharedItems>
    </cacheField>
    <cacheField name="Final_Amount_INR" numFmtId="0">
      <sharedItems containsString="0" containsBlank="1" containsNumber="1" containsInteger="1" minValue="4302095" maxValue="37696508" count="401">
        <n v="4664744"/>
        <n v="11469233"/>
        <n v="37475169"/>
        <n v="4704041"/>
        <n v="14691274"/>
        <n v="5314705"/>
        <n v="7742702"/>
        <n v="11296610"/>
        <n v="6946279"/>
        <n v="4720556"/>
        <n v="14585872"/>
        <n v="37654961"/>
        <n v="14507039"/>
        <n v="4512039"/>
        <n v="7090524"/>
        <n v="4855743"/>
        <n v="7109937"/>
        <n v="4533538"/>
        <n v="14592768"/>
        <n v="11275455"/>
        <n v="4814605"/>
        <n v="37645943"/>
        <n v="37488395"/>
        <n v="7085044"/>
        <n v="37678109"/>
        <n v="5859996"/>
        <n v="11341866"/>
        <n v="4849035"/>
        <n v="7848137"/>
        <n v="8619192"/>
        <n v="14610768"/>
        <n v="4464612"/>
        <n v="6973868"/>
        <n v="7843881"/>
        <n v="5266829"/>
        <n v="5405109"/>
        <n v="37565689"/>
        <n v="37693523"/>
        <n v="5470936"/>
        <n v="7893160"/>
        <n v="37606632"/>
        <n v="4524701"/>
        <n v="5914392"/>
        <n v="11378348"/>
        <n v="6917840"/>
        <n v="11470904"/>
        <n v="4731634"/>
        <n v="4773332"/>
        <n v="5981422"/>
        <n v="4901661"/>
        <n v="7970651"/>
        <n v="7762946"/>
        <n v="4905776"/>
        <n v="8602918"/>
        <n v="37696508"/>
        <n v="5279596"/>
        <n v="7070518"/>
        <n v="37686140"/>
        <n v="7864179"/>
        <n v="4677399"/>
        <n v="4342286"/>
        <n v="7824677"/>
        <n v="5901212"/>
        <n v="7802864"/>
        <n v="8660009"/>
        <n v="5958024"/>
        <n v="11304517"/>
        <n v="4731788"/>
        <n v="14608158"/>
        <n v="11296215"/>
        <n v="14619924"/>
        <n v="37561298"/>
        <n v="37584281"/>
        <n v="11309588"/>
        <n v="4744308"/>
        <n v="37676386"/>
        <n v="14504560"/>
        <n v="14681366"/>
        <n v="7087179"/>
        <n v="7909141"/>
        <n v="14690612"/>
        <n v="5423202"/>
        <n v="5489353"/>
        <n v="5489032"/>
        <n v="5933839"/>
        <n v="7901956"/>
        <n v="5912532"/>
        <n v="6943347"/>
        <n v="14538287"/>
        <n v="11389534"/>
        <n v="11368900"/>
        <n v="37663606"/>
        <n v="14517530"/>
        <n v="5933015"/>
        <n v="7072640"/>
        <n v="4510769"/>
        <n v="5391115"/>
        <n v="6909010"/>
        <n v="14488210"/>
        <n v="4459085"/>
        <n v="8678161"/>
        <n v="5271619"/>
        <n v="7814669"/>
        <n v="7830257"/>
        <n v="4520133"/>
        <n v="5886148"/>
        <n v="5986501"/>
        <n v="11441749"/>
        <n v="11448629"/>
        <n v="6064326"/>
        <n v="7728604"/>
        <n v="4341365"/>
        <n v="4458147"/>
        <n v="5937241"/>
        <n v="5836296"/>
        <n v="7857917"/>
        <n v="4510069"/>
        <n v="14669305"/>
        <n v="37505908"/>
        <n v="5844794"/>
        <n v="37544918"/>
        <n v="37500804"/>
        <n v="37693963"/>
        <n v="37576746"/>
        <n v="5964058"/>
        <n v="7834189"/>
        <n v="14696955"/>
        <n v="4402682"/>
        <n v="11475838"/>
        <n v="6900927"/>
        <n v="8735601"/>
        <n v="11437259"/>
        <n v="8619180"/>
        <n v="4307739"/>
        <n v="6948341"/>
        <n v="7855270"/>
        <n v="5377592"/>
        <n v="8591912"/>
        <n v="4380969"/>
        <n v="7840058"/>
        <n v="6990031"/>
        <n v="6032919"/>
        <n v="11313107"/>
        <n v="5485728"/>
        <n v="4379525"/>
        <n v="5493933"/>
        <n v="14533183"/>
        <n v="14687027"/>
        <n v="7099158"/>
        <n v="8600284"/>
        <n v="8568113"/>
        <n v="8584019"/>
        <n v="5465586"/>
        <n v="4428213"/>
        <n v="37649095"/>
        <n v="5966370"/>
        <n v="8750631"/>
        <n v="14676883"/>
        <n v="5356905"/>
        <n v="7828858"/>
        <n v="37469658"/>
        <n v="37693648"/>
        <n v="8629230"/>
        <n v="7765550"/>
        <n v="7845915"/>
        <n v="7137983"/>
        <n v="7136340"/>
        <n v="14569707"/>
        <n v="7812899"/>
        <n v="14596975"/>
        <n v="8562975"/>
        <n v="11471451"/>
        <n v="6912257"/>
        <n v="7128921"/>
        <n v="4434759"/>
        <n v="5365618"/>
        <n v="4836708"/>
        <n v="4894560"/>
        <n v="6014078"/>
        <n v="37667620"/>
        <n v="4902720"/>
        <n v="8570813"/>
        <n v="7820757"/>
        <n v="4386753"/>
        <n v="6055906"/>
        <n v="5385880"/>
        <n v="8799001"/>
        <n v="4755022"/>
        <n v="4833616"/>
        <n v="8711197"/>
        <n v="4398760"/>
        <n v="11459548"/>
        <n v="6014399"/>
        <n v="5417276"/>
        <n v="37567355"/>
        <n v="6984014"/>
        <n v="11481788"/>
        <n v="4369140"/>
        <n v="11463380"/>
        <n v="5340485"/>
        <n v="6047963"/>
        <n v="14535246"/>
        <n v="14451314"/>
        <n v="7000914"/>
        <n v="4761959"/>
        <n v="7892981"/>
        <n v="7050451"/>
        <n v="7005138"/>
        <n v="6006309"/>
        <n v="37660415"/>
        <n v="11428037"/>
        <n v="37478001"/>
        <n v="5971142"/>
        <n v="4685600"/>
        <n v="11464895"/>
        <n v="14607057"/>
        <n v="7023474"/>
        <n v="37675770"/>
        <n v="4798377"/>
        <n v="6056407"/>
        <n v="7858822"/>
        <n v="14598498"/>
        <n v="7775513"/>
        <n v="4811096"/>
        <n v="14526549"/>
        <n v="5416906"/>
        <n v="8689385"/>
        <n v="11312280"/>
        <n v="6077808"/>
        <n v="37565692"/>
        <n v="4794496"/>
        <n v="4866416"/>
        <n v="4395495"/>
        <n v="7116760"/>
        <n v="4768093"/>
        <n v="4831205"/>
        <n v="4896022"/>
        <n v="11284799"/>
        <n v="5914301"/>
        <n v="8628726"/>
        <n v="6908048"/>
        <n v="37570250"/>
        <n v="14583555"/>
        <n v="11509245"/>
        <n v="4543128"/>
        <n v="7893775"/>
        <n v="5965830"/>
        <n v="11443002"/>
        <n v="37465507"/>
        <n v="4302095"/>
        <n v="4436429"/>
        <n v="4405962"/>
        <n v="37683907"/>
        <n v="7133227"/>
        <n v="6907707"/>
        <n v="37494285"/>
        <n v="4762725"/>
        <n v="7922281"/>
        <n v="14505199"/>
        <n v="14696354"/>
        <n v="11305619"/>
        <n v="8560750"/>
        <n v="11469089"/>
        <n v="11486152"/>
        <n v="4891819"/>
        <n v="37660332"/>
        <n v="11365215"/>
        <n v="4473476"/>
        <n v="7953131"/>
        <n v="11265055"/>
        <n v="7793698"/>
        <n v="7896346"/>
        <n v="5324220"/>
        <n v="37672568"/>
        <n v="7039015"/>
        <n v="5433174"/>
        <n v="4530837"/>
        <n v="4699183"/>
        <n v="4336551"/>
        <n v="7048409"/>
        <n v="11314912"/>
        <n v="37657983"/>
        <n v="5478824"/>
        <n v="4897806"/>
        <n v="11354233"/>
        <n v="14528682"/>
        <n v="5289465"/>
        <n v="37568217"/>
        <n v="5952675"/>
        <n v="7928588"/>
        <n v="5325205"/>
        <n v="37529406"/>
        <n v="7830861"/>
        <n v="8698587"/>
        <n v="4881499"/>
        <n v="4901834"/>
        <n v="5344389"/>
        <n v="7882853"/>
        <n v="4396758"/>
        <n v="37644964"/>
        <n v="5969441"/>
        <n v="6970277"/>
        <n v="7014023"/>
        <n v="7087683"/>
        <n v="14559530"/>
        <n v="4657880"/>
        <n v="8660292"/>
        <n v="37634865"/>
        <n v="8673900"/>
        <n v="8792980"/>
        <n v="4366771"/>
        <n v="5875154"/>
        <n v="7018573"/>
        <n v="7944246"/>
        <n v="4800483"/>
        <n v="4736279"/>
        <n v="37595586"/>
        <n v="37603162"/>
        <n v="4826212"/>
        <n v="4315161"/>
        <n v="8638806"/>
        <n v="4852278"/>
        <n v="5430380"/>
        <n v="8691692"/>
        <n v="8767785"/>
        <n v="37645825"/>
        <n v="8558084"/>
        <n v="5893779"/>
        <n v="14476869"/>
        <n v="5324289"/>
        <n v="4690336"/>
        <n v="8730265"/>
        <n v="5902971"/>
        <n v="5465317"/>
        <n v="14619162"/>
        <n v="14497847"/>
        <n v="5439998"/>
        <n v="4746043"/>
        <n v="4793233"/>
        <n v="8654834"/>
        <n v="5871875"/>
        <n v="5351784"/>
        <n v="4342992"/>
        <n v="7862350"/>
        <n v="37566531"/>
        <n v="4434236"/>
        <n v="8574212"/>
        <n v="7017402"/>
        <n v="4869590"/>
        <n v="4828312"/>
        <n v="14458313"/>
        <n v="8568259"/>
        <n v="7054759"/>
        <n v="11435243"/>
        <n v="8556247"/>
        <n v="7104641"/>
        <n v="11403537"/>
        <n v="7096206"/>
        <n v="5417732"/>
        <n v="4796764"/>
        <n v="5858153"/>
        <n v="7002749"/>
        <n v="4662315"/>
        <n v="4850845"/>
        <n v="5861035"/>
        <n v="11474089"/>
        <n v="8688159"/>
        <n v="14564405"/>
        <n v="7059158"/>
        <n v="5286577"/>
        <n v="7790891"/>
        <n v="6059255"/>
        <n v="8622225"/>
        <n v="4456273"/>
        <n v="8724326"/>
        <n v="8674554"/>
        <n v="14487160"/>
        <n v="6905238"/>
        <n v="4664942"/>
        <n v="8597964"/>
        <n v="5393677"/>
        <n v="4878619"/>
        <n v="6951823"/>
        <n v="8699987"/>
        <n v="4339199"/>
        <n v="8721024"/>
        <n v="5951497"/>
        <n v="4490107"/>
        <n v="5418065"/>
        <n v="37539300"/>
        <n v="7745644"/>
        <n v="6049304"/>
        <n v="8704489"/>
        <n v="11323262"/>
        <n v="11318279"/>
        <n v="14543013"/>
        <n v="4426412"/>
        <n v="5891082"/>
        <n v="6038772"/>
        <n v="6034433"/>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AN" refreshedDate="46065.386807175928" createdVersion="4" refreshedVersion="4" minRefreshableVersion="3" recordCount="421" xr:uid="{00000000-000A-0000-FFFF-FFFF01000000}">
  <cacheSource type="worksheet">
    <worksheetSource ref="A1:V1048576" sheet="clean dataset"/>
  </cacheSource>
  <cacheFields count="22">
    <cacheField name="Invoice_ID" numFmtId="0">
      <sharedItems containsString="0" containsBlank="1" containsNumber="1" containsInteger="1" minValue="1001" maxValue="1400"/>
    </cacheField>
    <cacheField name="Customer_Name" numFmtId="0">
      <sharedItems containsBlank="1"/>
    </cacheField>
    <cacheField name="Gender" numFmtId="0">
      <sharedItems containsBlank="1"/>
    </cacheField>
    <cacheField name="Age" numFmtId="0">
      <sharedItems containsString="0" containsBlank="1" containsNumber="1" containsInteger="1" minValue="25" maxValue="60"/>
    </cacheField>
    <cacheField name="Model" numFmtId="0">
      <sharedItems containsBlank="1" count="11">
        <s v="GLA"/>
        <s v="AMG C43"/>
        <s v="AMG G63"/>
        <s v="S-Class"/>
        <s v="GLB"/>
        <s v="E-Class"/>
        <s v="GLC"/>
        <s v="A-Class"/>
        <s v="C-Class"/>
        <s v="GLE"/>
        <m/>
      </sharedItems>
    </cacheField>
    <cacheField name="Fuel_Type" numFmtId="0">
      <sharedItems containsBlank="1" count="5">
        <s v="Electric"/>
        <s v="Diesel"/>
        <s v="Petrol"/>
        <s v="Hybrid"/>
        <m/>
      </sharedItems>
    </cacheField>
    <cacheField name="City" numFmtId="0">
      <sharedItems containsBlank="1" count="11">
        <s v="Vadodara"/>
        <s v="Jaipur"/>
        <s v="Surat"/>
        <s v="Hyderabad"/>
        <s v="Chennai"/>
        <s v="Delhi"/>
        <s v="Bangalore"/>
        <s v="Ahmedabad"/>
        <s v="Mumbai"/>
        <s v="Pune"/>
        <m/>
      </sharedItems>
    </cacheField>
    <cacheField name="State" numFmtId="0">
      <sharedItems containsBlank="1" count="8">
        <s v="Gujarat"/>
        <s v="Rajasthan"/>
        <s v="Telangana"/>
        <s v="Tamil Nadu"/>
        <s v="Delhi"/>
        <s v="Karnataka"/>
        <s v="Maharashtra"/>
        <m/>
      </sharedItems>
    </cacheField>
    <cacheField name="Salesperson" numFmtId="0">
      <sharedItems containsBlank="1"/>
    </cacheField>
    <cacheField name="Branch" numFmtId="0">
      <sharedItems containsBlank="1"/>
    </cacheField>
    <cacheField name="Sale_Date" numFmtId="14">
      <sharedItems containsBlank="1" count="322">
        <s v="2023-10-08"/>
        <s v="2024-11-30"/>
        <s v="2024-04-03"/>
        <s v="2024-04-05"/>
        <s v="2024-06-08"/>
        <s v="2023-01-16"/>
        <s v="2023-03-30"/>
        <s v="2024-06-28"/>
        <s v="2023-08-02"/>
        <s v="2023-06-20"/>
        <s v="2023-08-19"/>
        <s v="2024-09-21"/>
        <s v="2024-03-01"/>
        <s v="2024-06-30"/>
        <s v="2023-09-18"/>
        <s v="2024-06-11"/>
        <s v="2023-12-02"/>
        <s v="2023-06-25"/>
        <s v="2023-12-23"/>
        <s v="2024-05-04"/>
        <s v="2023-07-19"/>
        <s v="2024-11-02"/>
        <s v="2023-10-11"/>
        <s v="2024-04-13"/>
        <s v="2025-01-31"/>
        <s v="2024-02-18"/>
        <s v="2025-05-20"/>
        <s v="2025-02-20"/>
        <s v="2025-04-27"/>
        <s v="2023-01-23"/>
        <s v="2023-03-20"/>
        <s v="2024-09-18"/>
        <s v="2025-03-20"/>
        <s v="2023-02-11"/>
        <s v="2024-08-19"/>
        <s v="2023-11-04"/>
        <s v="2024-01-11"/>
        <s v="2025-04-30"/>
        <s v="2025-03-10"/>
        <s v="2024-09-04"/>
        <s v="2024-04-15"/>
        <s v="2023-07-09"/>
        <s v="2024-10-17"/>
        <s v="2024-11-18"/>
        <s v="2023-11-15"/>
        <s v="2025-05-24"/>
        <s v="2024-05-22"/>
        <s v="2024-05-19"/>
        <s v="2024-07-28"/>
        <s v="2025-06-15"/>
        <s v="2025-03-15"/>
        <s v="2024-12-13"/>
        <s v="2024-12-21"/>
        <s v="2025-03-31"/>
        <s v="2024-06-22"/>
        <s v="2023-04-21"/>
        <s v="2024-07-30"/>
        <s v="2024-01-22"/>
        <s v="2025-05-29"/>
        <s v="2024-09-14"/>
        <s v="2023-11-12"/>
        <s v="2025-03-05"/>
        <s v="2024-06-09"/>
        <s v="2025-04-23"/>
        <s v="2025-03-14"/>
        <s v="2024-01-27"/>
        <s v="2023-06-18"/>
        <s v="2024-06-26"/>
        <s v="2025-04-11"/>
        <s v="2023-12-17"/>
        <s v="2025-01-06"/>
        <s v="2024-06-15"/>
        <s v="2024-09-30"/>
        <s v="2023-09-15"/>
        <s v="2024-04-19"/>
        <s v="2023-04-08"/>
        <s v="2023-10-31"/>
        <s v="2024-07-13"/>
        <s v="2024-11-08"/>
        <s v="2023-07-03"/>
        <s v="2023-06-01"/>
        <s v="2023-01-31"/>
        <s v="2023-11-07"/>
        <s v="2024-10-12"/>
        <s v="2023-02-10"/>
        <s v="2024-12-26"/>
        <s v="2024-03-07"/>
        <s v="2025-03-13"/>
        <s v="2023-12-26"/>
        <s v="2024-10-02"/>
        <s v="2023-02-24"/>
        <s v="2023-10-01"/>
        <s v="2024-12-16"/>
        <s v="2023-08-01"/>
        <s v="2025-06-06"/>
        <s v="2023-03-07"/>
        <s v="2024-04-26"/>
        <s v="2025-01-24"/>
        <s v="2023-02-21"/>
        <s v="2023-10-17"/>
        <s v="2025-06-17"/>
        <s v="2023-08-14"/>
        <s v="2023-04-17"/>
        <s v="2023-07-25"/>
        <s v="2023-12-15"/>
        <s v="2025-05-25"/>
        <s v="2023-10-20"/>
        <s v="2023-12-05"/>
        <s v="2023-02-01"/>
        <s v="2023-08-28"/>
        <s v="2024-09-17"/>
        <s v="2023-08-22"/>
        <s v="2023-09-25"/>
        <s v="2023-01-01"/>
        <s v="2024-04-01"/>
        <s v="2023-03-04"/>
        <s v="2023-02-14"/>
        <s v="2024-03-24"/>
        <s v="2024-12-10"/>
        <s v="2025-03-21"/>
        <s v="2023-06-14"/>
        <s v="2025-05-08"/>
        <s v="2024-05-20"/>
        <s v="2024-01-10"/>
        <s v="2025-04-04"/>
        <s v="2024-02-08"/>
        <s v="2023-02-12"/>
        <s v="2023-10-19"/>
        <s v="2023-05-27"/>
        <s v="2023-06-11"/>
        <s v="2023-11-16"/>
        <s v="2025-03-02"/>
        <s v="2023-05-25"/>
        <s v="2023-05-23"/>
        <s v="2023-03-12"/>
        <s v="2024-06-12"/>
        <s v="2023-11-14"/>
        <s v="2024-03-30"/>
        <s v="2023-12-07"/>
        <s v="2025-01-28"/>
        <s v="2024-01-28"/>
        <s v="2024-10-11"/>
        <s v="2023-02-28"/>
        <s v="2023-05-20"/>
        <s v="2023-08-26"/>
        <s v="2023-07-26"/>
        <s v="2024-05-28"/>
        <s v="2023-11-11"/>
        <s v="2025-06-09"/>
        <s v="2023-05-28"/>
        <s v="2023-10-05"/>
        <s v="2025-06-08"/>
        <s v="2023-04-14"/>
        <s v="2024-01-26"/>
        <s v="2025-03-22"/>
        <s v="2024-02-14"/>
        <s v="2024-09-16"/>
        <s v="2025-04-08"/>
        <s v="2023-01-14"/>
        <s v="2023-07-01"/>
        <s v="2024-05-26"/>
        <s v="2025-06-16"/>
        <s v="2023-02-27"/>
        <s v="2023-10-15"/>
        <s v="2024-10-05"/>
        <s v="2024-09-10"/>
        <s v="2023-05-07"/>
        <s v="2023-12-09"/>
        <s v="2024-06-04"/>
        <s v="2025-04-05"/>
        <s v="2024-12-24"/>
        <s v="2023-10-07"/>
        <s v="2025-05-28"/>
        <s v="2024-08-17"/>
        <s v="2023-01-29"/>
        <s v="2023-09-28"/>
        <s v="2025-04-07"/>
        <s v="2025-06-10"/>
        <s v="2023-11-27"/>
        <s v="2025-02-08"/>
        <s v="2024-12-14"/>
        <s v="2024-04-06"/>
        <s v="2023-08-04"/>
        <s v="2024-03-25"/>
        <s v="2024-01-05"/>
        <s v="2023-07-21"/>
        <s v="2023-07-28"/>
        <s v="2024-07-17"/>
        <s v="2023-07-12"/>
        <s v="2023-07-20"/>
        <s v="2025-05-01"/>
        <s v="2024-06-25"/>
        <s v="2024-03-29"/>
        <s v="2023-05-03"/>
        <s v="2024-04-09"/>
        <s v="2025-05-11"/>
        <s v="2024-04-14"/>
        <s v="2024-06-24"/>
        <s v="2023-09-29"/>
        <s v="2023-08-16"/>
        <s v="2023-07-06"/>
        <s v="2023-03-14"/>
        <s v="2025-06-13"/>
        <s v="2025-04-28"/>
        <s v="2023-01-07"/>
        <s v="2023-04-24"/>
        <s v="2023-11-08"/>
        <s v="2025-01-09"/>
        <s v="2024-08-03"/>
        <s v="2023-04-20"/>
        <s v="2024-10-28"/>
        <s v="2024-02-06"/>
        <s v="2023-02-04"/>
        <s v="2025-05-19"/>
        <s v="2025-02-21"/>
        <s v="2025-02-01"/>
        <s v="2023-01-27"/>
        <s v="2025-05-23"/>
        <s v="2024-07-22"/>
        <s v="2023-03-03"/>
        <s v="2023-02-20"/>
        <s v="2024-09-29"/>
        <s v="2024-01-01"/>
        <s v="2025-05-05"/>
        <s v="2024-08-22"/>
        <s v="2023-04-19"/>
        <s v="2023-12-16"/>
        <s v="2024-08-04"/>
        <s v="2025-03-23"/>
        <s v="2023-01-18"/>
        <s v="2024-01-19"/>
        <s v="2023-12-29"/>
        <s v="2023-05-05"/>
        <s v="2024-03-21"/>
        <s v="2023-06-06"/>
        <s v="2023-11-17"/>
        <s v="2025-05-31"/>
        <s v="2023-08-09"/>
        <s v="2023-08-18"/>
        <s v="2023-05-26"/>
        <s v="2023-05-09"/>
        <s v="2023-03-08"/>
        <s v="2023-03-01"/>
        <s v="2024-08-12"/>
        <s v="2023-12-27"/>
        <s v="2023-02-13"/>
        <s v="2024-11-14"/>
        <s v="2023-11-03"/>
        <s v="2023-03-29"/>
        <s v="2025-01-11"/>
        <s v="2023-05-13"/>
        <s v="2023-01-15"/>
        <s v="2025-01-03"/>
        <s v="2023-03-26"/>
        <s v="2024-04-08"/>
        <s v="2023-03-09"/>
        <s v="2024-10-13"/>
        <s v="2024-10-30"/>
        <s v="2025-02-13"/>
        <s v="2024-03-11"/>
        <s v="2025-03-16"/>
        <s v="2024-11-09"/>
        <s v="2024-06-10"/>
        <s v="2023-07-18"/>
        <s v="2023-03-28"/>
        <s v="2025-04-20"/>
        <s v="2024-11-07"/>
        <s v="2023-09-22"/>
        <s v="2023-03-25"/>
        <s v="2025-01-18"/>
        <s v="2024-02-07"/>
        <s v="2024-03-23"/>
        <s v="2024-09-07"/>
        <s v="2024-06-19"/>
        <s v="2025-01-14"/>
        <s v="2024-07-21"/>
        <s v="2024-01-03"/>
        <s v="2023-07-07"/>
        <s v="2024-03-28"/>
        <s v="2023-11-23"/>
        <s v="2023-04-01"/>
        <s v="2023-05-15"/>
        <s v="2023-09-08"/>
        <s v="2024-04-11"/>
        <s v="2024-04-25"/>
        <s v="2023-07-17"/>
        <s v="2025-03-17"/>
        <s v="2023-05-24"/>
        <s v="2024-06-07"/>
        <s v="2023-05-11"/>
        <s v="2023-01-26"/>
        <s v="2025-06-18"/>
        <s v="2024-03-19"/>
        <s v="2023-09-19"/>
        <s v="2024-02-17"/>
        <s v="2023-05-17"/>
        <s v="2024-11-26"/>
        <s v="2024-08-10"/>
        <s v="2024-05-14"/>
        <s v="2023-11-30"/>
        <s v="2025-02-16"/>
        <s v="2024-09-05"/>
        <s v="2024-08-13"/>
        <s v="2024-12-23"/>
        <s v="2023-04-28"/>
        <s v="2024-08-09"/>
        <s v="2024-07-23"/>
        <s v="2023-06-07"/>
        <s v="2025-05-14"/>
        <s v="2024-08-26"/>
        <s v="2025-02-12"/>
        <s v="2024-06-18"/>
        <s v="2023-04-02"/>
        <s v="2024-10-19"/>
        <s v="2025-02-14"/>
        <s v="2024-02-24"/>
        <s v="2024-02-25"/>
        <s v="2025-04-01"/>
        <s v="2023-11-13"/>
        <s v="2024-12-19"/>
        <s v="2024-08-27"/>
        <m/>
      </sharedItems>
    </cacheField>
    <cacheField name="Payment_Mode" numFmtId="0">
      <sharedItems containsBlank="1"/>
    </cacheField>
    <cacheField name="Bank_Name" numFmtId="0">
      <sharedItems containsBlank="1"/>
    </cacheField>
    <cacheField name="Loan_Approved" numFmtId="0">
      <sharedItems containsBlank="1"/>
    </cacheField>
    <cacheField name="Warranty_Years" numFmtId="0">
      <sharedItems containsString="0" containsBlank="1" containsNumber="1" containsInteger="1" minValue="2" maxValue="5"/>
    </cacheField>
    <cacheField name="Insurance_Provider" numFmtId="0">
      <sharedItems containsBlank="1"/>
    </cacheField>
    <cacheField name="Delivery_Days" numFmtId="0">
      <sharedItems containsString="0" containsBlank="1" containsNumber="1" containsInteger="1" minValue="5" maxValue="25"/>
    </cacheField>
    <cacheField name="Discount_INR" numFmtId="165">
      <sharedItems containsString="0" containsBlank="1" containsNumber="1" containsInteger="1" minValue="50224" maxValue="299905"/>
    </cacheField>
    <cacheField name="Tax_INR" numFmtId="165">
      <sharedItems containsString="0" containsBlank="1" containsNumber="1" containsInteger="1" minValue="702000" maxValue="5760000"/>
    </cacheField>
    <cacheField name="Final_Amount_INR" numFmtId="0">
      <sharedItems containsString="0" containsBlank="1" containsNumber="1" containsInteger="1" minValue="4302095" maxValue="37696508" count="401">
        <n v="4664744"/>
        <n v="11469233"/>
        <n v="37475169"/>
        <n v="4704041"/>
        <n v="14691274"/>
        <n v="5314705"/>
        <n v="7742702"/>
        <n v="11296610"/>
        <n v="6946279"/>
        <n v="4720556"/>
        <n v="14585872"/>
        <n v="37654961"/>
        <n v="14507039"/>
        <n v="4512039"/>
        <n v="7090524"/>
        <n v="4855743"/>
        <n v="7109937"/>
        <n v="4533538"/>
        <n v="14592768"/>
        <n v="11275455"/>
        <n v="4814605"/>
        <n v="37645943"/>
        <n v="37488395"/>
        <n v="7085044"/>
        <n v="37678109"/>
        <n v="5859996"/>
        <n v="11341866"/>
        <n v="4849035"/>
        <n v="7848137"/>
        <n v="8619192"/>
        <n v="14610768"/>
        <n v="4464612"/>
        <n v="6973868"/>
        <n v="7843881"/>
        <n v="5266829"/>
        <n v="5405109"/>
        <n v="37565689"/>
        <n v="37693523"/>
        <n v="5470936"/>
        <n v="7893160"/>
        <n v="37606632"/>
        <n v="4524701"/>
        <n v="5914392"/>
        <n v="11378348"/>
        <n v="6917840"/>
        <n v="11470904"/>
        <n v="4731634"/>
        <n v="4773332"/>
        <n v="5981422"/>
        <n v="4901661"/>
        <n v="7970651"/>
        <n v="7762946"/>
        <n v="4905776"/>
        <n v="8602918"/>
        <n v="37696508"/>
        <n v="5279596"/>
        <n v="7070518"/>
        <n v="37686140"/>
        <n v="7864179"/>
        <n v="4677399"/>
        <n v="4342286"/>
        <n v="7824677"/>
        <n v="5901212"/>
        <n v="7802864"/>
        <n v="8660009"/>
        <n v="5958024"/>
        <n v="11304517"/>
        <n v="4731788"/>
        <n v="14608158"/>
        <n v="11296215"/>
        <n v="14619924"/>
        <n v="37561298"/>
        <n v="37584281"/>
        <n v="11309588"/>
        <n v="4744308"/>
        <n v="37676386"/>
        <n v="14504560"/>
        <n v="14681366"/>
        <n v="7087179"/>
        <n v="7909141"/>
        <n v="14690612"/>
        <n v="5423202"/>
        <n v="5489353"/>
        <n v="5489032"/>
        <n v="5933839"/>
        <n v="7901956"/>
        <n v="5912532"/>
        <n v="6943347"/>
        <n v="14538287"/>
        <n v="11389534"/>
        <n v="11368900"/>
        <n v="37663606"/>
        <n v="14517530"/>
        <n v="5933015"/>
        <n v="7072640"/>
        <n v="4510769"/>
        <n v="5391115"/>
        <n v="6909010"/>
        <n v="14488210"/>
        <n v="4459085"/>
        <n v="8678161"/>
        <n v="5271619"/>
        <n v="7814669"/>
        <n v="7830257"/>
        <n v="4520133"/>
        <n v="5886148"/>
        <n v="5986501"/>
        <n v="11441749"/>
        <n v="11448629"/>
        <n v="6064326"/>
        <n v="7728604"/>
        <n v="4341365"/>
        <n v="4458147"/>
        <n v="5937241"/>
        <n v="5836296"/>
        <n v="7857917"/>
        <n v="4510069"/>
        <n v="14669305"/>
        <n v="37505908"/>
        <n v="5844794"/>
        <n v="37544918"/>
        <n v="37500804"/>
        <n v="37693963"/>
        <n v="37576746"/>
        <n v="5964058"/>
        <n v="7834189"/>
        <n v="14696955"/>
        <n v="4402682"/>
        <n v="11475838"/>
        <n v="6900927"/>
        <n v="8735601"/>
        <n v="11437259"/>
        <n v="8619180"/>
        <n v="4307739"/>
        <n v="6948341"/>
        <n v="7855270"/>
        <n v="5377592"/>
        <n v="8591912"/>
        <n v="4380969"/>
        <n v="7840058"/>
        <n v="6990031"/>
        <n v="6032919"/>
        <n v="11313107"/>
        <n v="5485728"/>
        <n v="4379525"/>
        <n v="5493933"/>
        <n v="14533183"/>
        <n v="14687027"/>
        <n v="7099158"/>
        <n v="8600284"/>
        <n v="8568113"/>
        <n v="8584019"/>
        <n v="5465586"/>
        <n v="4428213"/>
        <n v="37649095"/>
        <n v="5966370"/>
        <n v="8750631"/>
        <n v="14676883"/>
        <n v="5356905"/>
        <n v="7828858"/>
        <n v="37469658"/>
        <n v="37693648"/>
        <n v="8629230"/>
        <n v="7765550"/>
        <n v="7845915"/>
        <n v="7137983"/>
        <n v="7136340"/>
        <n v="14569707"/>
        <n v="7812899"/>
        <n v="14596975"/>
        <n v="8562975"/>
        <n v="11471451"/>
        <n v="6912257"/>
        <n v="7128921"/>
        <n v="4434759"/>
        <n v="5365618"/>
        <n v="4836708"/>
        <n v="4894560"/>
        <n v="6014078"/>
        <n v="37667620"/>
        <n v="4902720"/>
        <n v="8570813"/>
        <n v="7820757"/>
        <n v="4386753"/>
        <n v="6055906"/>
        <n v="5385880"/>
        <n v="8799001"/>
        <n v="4755022"/>
        <n v="4833616"/>
        <n v="8711197"/>
        <n v="4398760"/>
        <n v="11459548"/>
        <n v="6014399"/>
        <n v="5417276"/>
        <n v="37567355"/>
        <n v="6984014"/>
        <n v="11481788"/>
        <n v="4369140"/>
        <n v="11463380"/>
        <n v="5340485"/>
        <n v="6047963"/>
        <n v="14535246"/>
        <n v="14451314"/>
        <n v="7000914"/>
        <n v="4761959"/>
        <n v="7892981"/>
        <n v="7050451"/>
        <n v="7005138"/>
        <n v="6006309"/>
        <n v="37660415"/>
        <n v="11428037"/>
        <n v="37478001"/>
        <n v="5971142"/>
        <n v="4685600"/>
        <n v="11464895"/>
        <n v="14607057"/>
        <n v="7023474"/>
        <n v="37675770"/>
        <n v="4798377"/>
        <n v="6056407"/>
        <n v="7858822"/>
        <n v="14598498"/>
        <n v="7775513"/>
        <n v="4811096"/>
        <n v="14526549"/>
        <n v="5416906"/>
        <n v="8689385"/>
        <n v="11312280"/>
        <n v="6077808"/>
        <n v="37565692"/>
        <n v="4794496"/>
        <n v="4866416"/>
        <n v="4395495"/>
        <n v="7116760"/>
        <n v="4768093"/>
        <n v="4831205"/>
        <n v="4896022"/>
        <n v="11284799"/>
        <n v="5914301"/>
        <n v="8628726"/>
        <n v="6908048"/>
        <n v="37570250"/>
        <n v="14583555"/>
        <n v="11509245"/>
        <n v="4543128"/>
        <n v="7893775"/>
        <n v="5965830"/>
        <n v="11443002"/>
        <n v="37465507"/>
        <n v="4302095"/>
        <n v="4436429"/>
        <n v="4405962"/>
        <n v="37683907"/>
        <n v="7133227"/>
        <n v="6907707"/>
        <n v="37494285"/>
        <n v="4762725"/>
        <n v="7922281"/>
        <n v="14505199"/>
        <n v="14696354"/>
        <n v="11305619"/>
        <n v="8560750"/>
        <n v="11469089"/>
        <n v="11486152"/>
        <n v="4891819"/>
        <n v="37660332"/>
        <n v="11365215"/>
        <n v="4473476"/>
        <n v="7953131"/>
        <n v="11265055"/>
        <n v="7793698"/>
        <n v="7896346"/>
        <n v="5324220"/>
        <n v="37672568"/>
        <n v="7039015"/>
        <n v="5433174"/>
        <n v="4530837"/>
        <n v="4699183"/>
        <n v="4336551"/>
        <n v="7048409"/>
        <n v="11314912"/>
        <n v="37657983"/>
        <n v="5478824"/>
        <n v="4897806"/>
        <n v="11354233"/>
        <n v="14528682"/>
        <n v="5289465"/>
        <n v="37568217"/>
        <n v="5952675"/>
        <n v="7928588"/>
        <n v="5325205"/>
        <n v="37529406"/>
        <n v="7830861"/>
        <n v="8698587"/>
        <n v="4881499"/>
        <n v="4901834"/>
        <n v="5344389"/>
        <n v="7882853"/>
        <n v="4396758"/>
        <n v="37644964"/>
        <n v="5969441"/>
        <n v="6970277"/>
        <n v="7014023"/>
        <n v="7087683"/>
        <n v="14559530"/>
        <n v="4657880"/>
        <n v="8660292"/>
        <n v="37634865"/>
        <n v="8673900"/>
        <n v="8792980"/>
        <n v="4366771"/>
        <n v="5875154"/>
        <n v="7018573"/>
        <n v="7944246"/>
        <n v="4800483"/>
        <n v="4736279"/>
        <n v="37595586"/>
        <n v="37603162"/>
        <n v="4826212"/>
        <n v="4315161"/>
        <n v="8638806"/>
        <n v="4852278"/>
        <n v="5430380"/>
        <n v="8691692"/>
        <n v="8767785"/>
        <n v="37645825"/>
        <n v="8558084"/>
        <n v="5893779"/>
        <n v="14476869"/>
        <n v="5324289"/>
        <n v="4690336"/>
        <n v="8730265"/>
        <n v="5902971"/>
        <n v="5465317"/>
        <n v="14619162"/>
        <n v="14497847"/>
        <n v="5439998"/>
        <n v="4746043"/>
        <n v="4793233"/>
        <n v="8654834"/>
        <n v="5871875"/>
        <n v="5351784"/>
        <n v="4342992"/>
        <n v="7862350"/>
        <n v="37566531"/>
        <n v="4434236"/>
        <n v="8574212"/>
        <n v="7017402"/>
        <n v="4869590"/>
        <n v="4828312"/>
        <n v="14458313"/>
        <n v="8568259"/>
        <n v="7054759"/>
        <n v="11435243"/>
        <n v="8556247"/>
        <n v="7104641"/>
        <n v="11403537"/>
        <n v="7096206"/>
        <n v="5417732"/>
        <n v="4796764"/>
        <n v="5858153"/>
        <n v="7002749"/>
        <n v="4662315"/>
        <n v="4850845"/>
        <n v="5861035"/>
        <n v="11474089"/>
        <n v="8688159"/>
        <n v="14564405"/>
        <n v="7059158"/>
        <n v="5286577"/>
        <n v="7790891"/>
        <n v="6059255"/>
        <n v="8622225"/>
        <n v="4456273"/>
        <n v="8724326"/>
        <n v="8674554"/>
        <n v="14487160"/>
        <n v="6905238"/>
        <n v="4664942"/>
        <n v="8597964"/>
        <n v="5393677"/>
        <n v="4878619"/>
        <n v="6951823"/>
        <n v="8699987"/>
        <n v="4339199"/>
        <n v="8721024"/>
        <n v="5951497"/>
        <n v="4490107"/>
        <n v="5418065"/>
        <n v="37539300"/>
        <n v="7745644"/>
        <n v="6049304"/>
        <n v="8704489"/>
        <n v="11323262"/>
        <n v="11318279"/>
        <n v="14543013"/>
        <n v="4426412"/>
        <n v="5891082"/>
        <n v="6038772"/>
        <n v="6034433"/>
        <m/>
      </sharedItems>
    </cacheField>
    <cacheField name="performance car" numFmtId="0">
      <sharedItems containsBlank="1"/>
    </cacheField>
    <cacheField name="customer category" numFmtId="0">
      <sharedItems containsBlank="1" count="5">
        <s v="standard"/>
        <s v="premium"/>
        <s v="ultra premium"/>
        <s v="budget"/>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21">
  <r>
    <n v="1001"/>
    <s v="Suresh Nair"/>
    <x v="0"/>
    <x v="0"/>
    <x v="0"/>
    <x v="0"/>
    <x v="0"/>
    <x v="0"/>
    <x v="0"/>
    <s v="City Mall Branch"/>
    <x v="0"/>
    <x v="0"/>
    <x v="0"/>
    <s v="Yes"/>
    <n v="4"/>
    <x v="0"/>
    <x v="0"/>
    <x v="0"/>
    <x v="0"/>
    <x v="0"/>
  </r>
  <r>
    <n v="1002"/>
    <s v="Rahul Sharma"/>
    <x v="1"/>
    <x v="1"/>
    <x v="1"/>
    <x v="1"/>
    <x v="1"/>
    <x v="1"/>
    <x v="1"/>
    <s v="Highway Branch"/>
    <x v="1"/>
    <x v="1"/>
    <x v="1"/>
    <s v="Yes"/>
    <n v="3"/>
    <x v="1"/>
    <x v="1"/>
    <x v="1"/>
    <x v="1"/>
    <x v="1"/>
  </r>
  <r>
    <n v="1003"/>
    <s v="Vikas Joshi"/>
    <x v="1"/>
    <x v="2"/>
    <x v="2"/>
    <x v="1"/>
    <x v="2"/>
    <x v="0"/>
    <x v="2"/>
    <s v="Central Showroom"/>
    <x v="2"/>
    <x v="1"/>
    <x v="2"/>
    <s v="No"/>
    <n v="3"/>
    <x v="2"/>
    <x v="2"/>
    <x v="2"/>
    <x v="2"/>
    <x v="2"/>
  </r>
  <r>
    <n v="1004"/>
    <s v="Pooja Malhotra"/>
    <x v="1"/>
    <x v="3"/>
    <x v="0"/>
    <x v="2"/>
    <x v="3"/>
    <x v="2"/>
    <x v="0"/>
    <s v="Central Showroom"/>
    <x v="3"/>
    <x v="2"/>
    <x v="1"/>
    <s v="No"/>
    <n v="3"/>
    <x v="0"/>
    <x v="3"/>
    <x v="3"/>
    <x v="0"/>
    <x v="3"/>
  </r>
  <r>
    <n v="1005"/>
    <s v="Riya Kapoor"/>
    <x v="1"/>
    <x v="4"/>
    <x v="3"/>
    <x v="3"/>
    <x v="4"/>
    <x v="3"/>
    <x v="2"/>
    <s v="Highway Branch"/>
    <x v="4"/>
    <x v="3"/>
    <x v="1"/>
    <s v="Yes"/>
    <n v="5"/>
    <x v="2"/>
    <x v="4"/>
    <x v="4"/>
    <x v="3"/>
    <x v="4"/>
  </r>
  <r>
    <n v="1006"/>
    <s v="Mohit Gupta"/>
    <x v="1"/>
    <x v="5"/>
    <x v="4"/>
    <x v="1"/>
    <x v="5"/>
    <x v="4"/>
    <x v="1"/>
    <s v="City Mall Branch"/>
    <x v="5"/>
    <x v="4"/>
    <x v="2"/>
    <s v="No"/>
    <n v="4"/>
    <x v="1"/>
    <x v="3"/>
    <x v="5"/>
    <x v="4"/>
    <x v="5"/>
  </r>
  <r>
    <n v="1007"/>
    <s v="Priya Shah"/>
    <x v="1"/>
    <x v="6"/>
    <x v="5"/>
    <x v="2"/>
    <x v="6"/>
    <x v="5"/>
    <x v="3"/>
    <s v="City Mall Branch"/>
    <x v="6"/>
    <x v="2"/>
    <x v="3"/>
    <s v="No"/>
    <n v="5"/>
    <x v="1"/>
    <x v="5"/>
    <x v="6"/>
    <x v="5"/>
    <x v="6"/>
  </r>
  <r>
    <n v="1008"/>
    <s v="Nitin Agarwal"/>
    <x v="0"/>
    <x v="1"/>
    <x v="1"/>
    <x v="2"/>
    <x v="1"/>
    <x v="1"/>
    <x v="1"/>
    <s v="City Mall Branch"/>
    <x v="7"/>
    <x v="1"/>
    <x v="3"/>
    <s v="Yes"/>
    <n v="5"/>
    <x v="2"/>
    <x v="6"/>
    <x v="7"/>
    <x v="1"/>
    <x v="7"/>
  </r>
  <r>
    <n v="1009"/>
    <s v="Sneha Desai"/>
    <x v="1"/>
    <x v="7"/>
    <x v="6"/>
    <x v="0"/>
    <x v="1"/>
    <x v="1"/>
    <x v="3"/>
    <s v="City Mall Branch"/>
    <x v="8"/>
    <x v="0"/>
    <x v="0"/>
    <s v="No"/>
    <n v="4"/>
    <x v="0"/>
    <x v="7"/>
    <x v="8"/>
    <x v="6"/>
    <x v="8"/>
  </r>
  <r>
    <n v="1010"/>
    <s v="Riya Kapoor"/>
    <x v="0"/>
    <x v="8"/>
    <x v="0"/>
    <x v="0"/>
    <x v="4"/>
    <x v="3"/>
    <x v="0"/>
    <s v="City Mall Branch"/>
    <x v="9"/>
    <x v="1"/>
    <x v="3"/>
    <s v="Yes"/>
    <n v="3"/>
    <x v="0"/>
    <x v="8"/>
    <x v="9"/>
    <x v="0"/>
    <x v="9"/>
  </r>
  <r>
    <n v="1011"/>
    <s v="Sneha Desai"/>
    <x v="0"/>
    <x v="4"/>
    <x v="3"/>
    <x v="2"/>
    <x v="6"/>
    <x v="5"/>
    <x v="2"/>
    <s v="Highway Branch"/>
    <x v="10"/>
    <x v="1"/>
    <x v="2"/>
    <s v="Yes"/>
    <n v="4"/>
    <x v="3"/>
    <x v="9"/>
    <x v="10"/>
    <x v="3"/>
    <x v="10"/>
  </r>
  <r>
    <n v="1012"/>
    <s v="Sneha Desai"/>
    <x v="1"/>
    <x v="9"/>
    <x v="2"/>
    <x v="3"/>
    <x v="3"/>
    <x v="2"/>
    <x v="3"/>
    <s v="Premium Lounge"/>
    <x v="11"/>
    <x v="0"/>
    <x v="3"/>
    <s v="No"/>
    <n v="3"/>
    <x v="0"/>
    <x v="10"/>
    <x v="11"/>
    <x v="2"/>
    <x v="11"/>
  </r>
  <r>
    <n v="1013"/>
    <s v="Mohit Gupta"/>
    <x v="1"/>
    <x v="10"/>
    <x v="3"/>
    <x v="0"/>
    <x v="1"/>
    <x v="1"/>
    <x v="1"/>
    <s v="Highway Branch"/>
    <x v="12"/>
    <x v="2"/>
    <x v="3"/>
    <s v="No"/>
    <n v="5"/>
    <x v="3"/>
    <x v="7"/>
    <x v="12"/>
    <x v="3"/>
    <x v="12"/>
  </r>
  <r>
    <n v="1014"/>
    <s v="Pooja Malhotra"/>
    <x v="1"/>
    <x v="11"/>
    <x v="7"/>
    <x v="1"/>
    <x v="7"/>
    <x v="0"/>
    <x v="0"/>
    <s v="Premium Lounge"/>
    <x v="13"/>
    <x v="1"/>
    <x v="2"/>
    <s v="Yes"/>
    <n v="3"/>
    <x v="0"/>
    <x v="11"/>
    <x v="13"/>
    <x v="7"/>
    <x v="13"/>
  </r>
  <r>
    <n v="1015"/>
    <s v="Nitin Agarwal"/>
    <x v="1"/>
    <x v="12"/>
    <x v="6"/>
    <x v="2"/>
    <x v="1"/>
    <x v="1"/>
    <x v="2"/>
    <s v="Highway Branch"/>
    <x v="9"/>
    <x v="3"/>
    <x v="2"/>
    <s v="No"/>
    <n v="3"/>
    <x v="2"/>
    <x v="12"/>
    <x v="14"/>
    <x v="6"/>
    <x v="14"/>
  </r>
  <r>
    <n v="1016"/>
    <s v="Riya Kapoor"/>
    <x v="1"/>
    <x v="13"/>
    <x v="0"/>
    <x v="2"/>
    <x v="6"/>
    <x v="5"/>
    <x v="0"/>
    <s v="Central Showroom"/>
    <x v="14"/>
    <x v="1"/>
    <x v="4"/>
    <s v="No"/>
    <n v="3"/>
    <x v="3"/>
    <x v="7"/>
    <x v="15"/>
    <x v="0"/>
    <x v="15"/>
  </r>
  <r>
    <n v="1017"/>
    <s v="Harsh Patel"/>
    <x v="0"/>
    <x v="14"/>
    <x v="6"/>
    <x v="3"/>
    <x v="5"/>
    <x v="4"/>
    <x v="2"/>
    <s v="City Mall Branch"/>
    <x v="15"/>
    <x v="3"/>
    <x v="0"/>
    <s v="Yes"/>
    <n v="2"/>
    <x v="2"/>
    <x v="8"/>
    <x v="16"/>
    <x v="6"/>
    <x v="16"/>
  </r>
  <r>
    <n v="1018"/>
    <s v="Vikas Joshi"/>
    <x v="1"/>
    <x v="15"/>
    <x v="7"/>
    <x v="3"/>
    <x v="5"/>
    <x v="4"/>
    <x v="4"/>
    <s v="City Mall Branch"/>
    <x v="16"/>
    <x v="4"/>
    <x v="4"/>
    <s v="Yes"/>
    <n v="5"/>
    <x v="1"/>
    <x v="13"/>
    <x v="17"/>
    <x v="7"/>
    <x v="17"/>
  </r>
  <r>
    <n v="1019"/>
    <s v="Ankit Mehta"/>
    <x v="1"/>
    <x v="11"/>
    <x v="3"/>
    <x v="3"/>
    <x v="0"/>
    <x v="0"/>
    <x v="1"/>
    <s v="City Mall Branch"/>
    <x v="17"/>
    <x v="0"/>
    <x v="1"/>
    <s v="Yes"/>
    <n v="2"/>
    <x v="3"/>
    <x v="13"/>
    <x v="18"/>
    <x v="3"/>
    <x v="18"/>
  </r>
  <r>
    <n v="1020"/>
    <s v="Rohit Kumar"/>
    <x v="1"/>
    <x v="16"/>
    <x v="1"/>
    <x v="3"/>
    <x v="4"/>
    <x v="3"/>
    <x v="2"/>
    <s v="Premium Lounge"/>
    <x v="18"/>
    <x v="1"/>
    <x v="4"/>
    <s v="No"/>
    <n v="5"/>
    <x v="1"/>
    <x v="14"/>
    <x v="19"/>
    <x v="1"/>
    <x v="19"/>
  </r>
  <r>
    <n v="1021"/>
    <s v="Priya Shah"/>
    <x v="1"/>
    <x v="14"/>
    <x v="0"/>
    <x v="0"/>
    <x v="4"/>
    <x v="3"/>
    <x v="2"/>
    <s v="Central Showroom"/>
    <x v="19"/>
    <x v="2"/>
    <x v="1"/>
    <s v="No"/>
    <n v="3"/>
    <x v="2"/>
    <x v="15"/>
    <x v="20"/>
    <x v="0"/>
    <x v="20"/>
  </r>
  <r>
    <n v="1022"/>
    <s v="Aman Jain"/>
    <x v="0"/>
    <x v="4"/>
    <x v="2"/>
    <x v="1"/>
    <x v="8"/>
    <x v="6"/>
    <x v="1"/>
    <s v="Highway Branch"/>
    <x v="20"/>
    <x v="2"/>
    <x v="3"/>
    <s v="Yes"/>
    <n v="3"/>
    <x v="2"/>
    <x v="16"/>
    <x v="21"/>
    <x v="2"/>
    <x v="21"/>
  </r>
  <r>
    <n v="1023"/>
    <s v="Kavita Shah"/>
    <x v="1"/>
    <x v="17"/>
    <x v="2"/>
    <x v="0"/>
    <x v="2"/>
    <x v="0"/>
    <x v="2"/>
    <s v="City Mall Branch"/>
    <x v="21"/>
    <x v="3"/>
    <x v="4"/>
    <s v="Yes"/>
    <n v="3"/>
    <x v="2"/>
    <x v="2"/>
    <x v="22"/>
    <x v="2"/>
    <x v="22"/>
  </r>
  <r>
    <n v="1024"/>
    <s v="Pooja Malhotra"/>
    <x v="1"/>
    <x v="15"/>
    <x v="6"/>
    <x v="0"/>
    <x v="4"/>
    <x v="3"/>
    <x v="4"/>
    <s v="City Mall Branch"/>
    <x v="22"/>
    <x v="4"/>
    <x v="1"/>
    <s v="Yes"/>
    <n v="2"/>
    <x v="2"/>
    <x v="0"/>
    <x v="23"/>
    <x v="6"/>
    <x v="23"/>
  </r>
  <r>
    <n v="1025"/>
    <s v="Rahul Sharma"/>
    <x v="1"/>
    <x v="18"/>
    <x v="2"/>
    <x v="1"/>
    <x v="8"/>
    <x v="6"/>
    <x v="3"/>
    <s v="Central Showroom"/>
    <x v="23"/>
    <x v="3"/>
    <x v="3"/>
    <s v="No"/>
    <n v="4"/>
    <x v="1"/>
    <x v="17"/>
    <x v="24"/>
    <x v="2"/>
    <x v="24"/>
  </r>
  <r>
    <n v="1026"/>
    <s v="Harsh Patel"/>
    <x v="1"/>
    <x v="1"/>
    <x v="8"/>
    <x v="2"/>
    <x v="3"/>
    <x v="2"/>
    <x v="1"/>
    <s v="Highway Branch"/>
    <x v="24"/>
    <x v="0"/>
    <x v="2"/>
    <s v="Yes"/>
    <n v="3"/>
    <x v="2"/>
    <x v="13"/>
    <x v="25"/>
    <x v="8"/>
    <x v="25"/>
  </r>
  <r>
    <n v="1027"/>
    <s v="Pooja Malhotra"/>
    <x v="0"/>
    <x v="3"/>
    <x v="1"/>
    <x v="1"/>
    <x v="4"/>
    <x v="3"/>
    <x v="2"/>
    <s v="City Mall Branch"/>
    <x v="5"/>
    <x v="4"/>
    <x v="2"/>
    <s v="Yes"/>
    <n v="3"/>
    <x v="1"/>
    <x v="0"/>
    <x v="26"/>
    <x v="1"/>
    <x v="26"/>
  </r>
  <r>
    <n v="1028"/>
    <s v="Neha Verma"/>
    <x v="1"/>
    <x v="1"/>
    <x v="0"/>
    <x v="3"/>
    <x v="9"/>
    <x v="6"/>
    <x v="0"/>
    <s v="Highway Branch"/>
    <x v="25"/>
    <x v="0"/>
    <x v="2"/>
    <s v="Yes"/>
    <n v="2"/>
    <x v="1"/>
    <x v="13"/>
    <x v="27"/>
    <x v="0"/>
    <x v="27"/>
  </r>
  <r>
    <n v="1029"/>
    <s v="Neha Verma"/>
    <x v="0"/>
    <x v="19"/>
    <x v="5"/>
    <x v="2"/>
    <x v="3"/>
    <x v="2"/>
    <x v="0"/>
    <s v="Premium Lounge"/>
    <x v="26"/>
    <x v="0"/>
    <x v="0"/>
    <s v="No"/>
    <n v="2"/>
    <x v="1"/>
    <x v="2"/>
    <x v="28"/>
    <x v="5"/>
    <x v="28"/>
  </r>
  <r>
    <n v="1030"/>
    <s v="Sneha Desai"/>
    <x v="0"/>
    <x v="20"/>
    <x v="9"/>
    <x v="3"/>
    <x v="7"/>
    <x v="0"/>
    <x v="0"/>
    <s v="Premium Lounge"/>
    <x v="27"/>
    <x v="2"/>
    <x v="3"/>
    <s v="Yes"/>
    <n v="5"/>
    <x v="3"/>
    <x v="10"/>
    <x v="29"/>
    <x v="9"/>
    <x v="29"/>
  </r>
  <r>
    <n v="1031"/>
    <s v="Neha Verma"/>
    <x v="1"/>
    <x v="16"/>
    <x v="3"/>
    <x v="2"/>
    <x v="6"/>
    <x v="5"/>
    <x v="0"/>
    <s v="Central Showroom"/>
    <x v="28"/>
    <x v="2"/>
    <x v="1"/>
    <s v="Yes"/>
    <n v="3"/>
    <x v="0"/>
    <x v="5"/>
    <x v="30"/>
    <x v="3"/>
    <x v="30"/>
  </r>
  <r>
    <n v="1032"/>
    <s v="Sneha Desai"/>
    <x v="1"/>
    <x v="20"/>
    <x v="7"/>
    <x v="0"/>
    <x v="5"/>
    <x v="4"/>
    <x v="1"/>
    <s v="Highway Branch"/>
    <x v="29"/>
    <x v="4"/>
    <x v="2"/>
    <s v="Yes"/>
    <n v="5"/>
    <x v="1"/>
    <x v="18"/>
    <x v="31"/>
    <x v="7"/>
    <x v="31"/>
  </r>
  <r>
    <n v="1033"/>
    <s v="Vikas Joshi"/>
    <x v="0"/>
    <x v="21"/>
    <x v="6"/>
    <x v="3"/>
    <x v="3"/>
    <x v="2"/>
    <x v="1"/>
    <s v="City Mall Branch"/>
    <x v="30"/>
    <x v="0"/>
    <x v="2"/>
    <s v="Yes"/>
    <n v="2"/>
    <x v="0"/>
    <x v="11"/>
    <x v="32"/>
    <x v="6"/>
    <x v="32"/>
  </r>
  <r>
    <n v="1034"/>
    <s v="Suresh Nair"/>
    <x v="1"/>
    <x v="2"/>
    <x v="5"/>
    <x v="1"/>
    <x v="8"/>
    <x v="6"/>
    <x v="4"/>
    <s v="Premium Lounge"/>
    <x v="31"/>
    <x v="0"/>
    <x v="4"/>
    <s v="Yes"/>
    <n v="3"/>
    <x v="1"/>
    <x v="3"/>
    <x v="33"/>
    <x v="5"/>
    <x v="33"/>
  </r>
  <r>
    <n v="1035"/>
    <s v="Kavita Shah"/>
    <x v="0"/>
    <x v="13"/>
    <x v="4"/>
    <x v="0"/>
    <x v="9"/>
    <x v="6"/>
    <x v="4"/>
    <s v="Central Showroom"/>
    <x v="32"/>
    <x v="3"/>
    <x v="0"/>
    <s v="No"/>
    <n v="5"/>
    <x v="2"/>
    <x v="4"/>
    <x v="34"/>
    <x v="4"/>
    <x v="34"/>
  </r>
  <r>
    <n v="1036"/>
    <s v="Suresh Nair"/>
    <x v="0"/>
    <x v="22"/>
    <x v="4"/>
    <x v="0"/>
    <x v="7"/>
    <x v="0"/>
    <x v="3"/>
    <s v="Highway Branch"/>
    <x v="33"/>
    <x v="0"/>
    <x v="3"/>
    <s v="Yes"/>
    <n v="3"/>
    <x v="1"/>
    <x v="8"/>
    <x v="35"/>
    <x v="4"/>
    <x v="35"/>
  </r>
  <r>
    <n v="1037"/>
    <s v="Vikas Joshi"/>
    <x v="1"/>
    <x v="21"/>
    <x v="2"/>
    <x v="2"/>
    <x v="1"/>
    <x v="1"/>
    <x v="1"/>
    <s v="Highway Branch"/>
    <x v="34"/>
    <x v="0"/>
    <x v="1"/>
    <s v="Yes"/>
    <n v="3"/>
    <x v="1"/>
    <x v="8"/>
    <x v="36"/>
    <x v="2"/>
    <x v="36"/>
  </r>
  <r>
    <n v="1038"/>
    <s v="Mohit Gupta"/>
    <x v="0"/>
    <x v="23"/>
    <x v="2"/>
    <x v="3"/>
    <x v="8"/>
    <x v="6"/>
    <x v="4"/>
    <s v="Highway Branch"/>
    <x v="35"/>
    <x v="0"/>
    <x v="1"/>
    <s v="No"/>
    <n v="2"/>
    <x v="3"/>
    <x v="19"/>
    <x v="37"/>
    <x v="2"/>
    <x v="37"/>
  </r>
  <r>
    <n v="1039"/>
    <s v="Ankit Mehta"/>
    <x v="1"/>
    <x v="24"/>
    <x v="4"/>
    <x v="3"/>
    <x v="8"/>
    <x v="6"/>
    <x v="4"/>
    <s v="Highway Branch"/>
    <x v="34"/>
    <x v="2"/>
    <x v="2"/>
    <s v="No"/>
    <n v="5"/>
    <x v="3"/>
    <x v="15"/>
    <x v="38"/>
    <x v="4"/>
    <x v="38"/>
  </r>
  <r>
    <n v="1040"/>
    <s v="Rohit Kumar"/>
    <x v="0"/>
    <x v="6"/>
    <x v="5"/>
    <x v="3"/>
    <x v="8"/>
    <x v="6"/>
    <x v="3"/>
    <s v="Premium Lounge"/>
    <x v="36"/>
    <x v="3"/>
    <x v="2"/>
    <s v="Yes"/>
    <n v="5"/>
    <x v="3"/>
    <x v="18"/>
    <x v="39"/>
    <x v="5"/>
    <x v="39"/>
  </r>
  <r>
    <n v="1041"/>
    <s v="Ankit Mehta"/>
    <x v="1"/>
    <x v="25"/>
    <x v="2"/>
    <x v="2"/>
    <x v="4"/>
    <x v="3"/>
    <x v="0"/>
    <s v="Premium Lounge"/>
    <x v="36"/>
    <x v="2"/>
    <x v="4"/>
    <s v="Yes"/>
    <n v="3"/>
    <x v="1"/>
    <x v="5"/>
    <x v="40"/>
    <x v="2"/>
    <x v="40"/>
  </r>
  <r>
    <n v="1042"/>
    <s v="Neha Verma"/>
    <x v="1"/>
    <x v="14"/>
    <x v="7"/>
    <x v="2"/>
    <x v="3"/>
    <x v="2"/>
    <x v="3"/>
    <s v="Central Showroom"/>
    <x v="37"/>
    <x v="2"/>
    <x v="0"/>
    <s v="No"/>
    <n v="3"/>
    <x v="3"/>
    <x v="20"/>
    <x v="41"/>
    <x v="7"/>
    <x v="41"/>
  </r>
  <r>
    <n v="1043"/>
    <s v="Vikas Joshi"/>
    <x v="1"/>
    <x v="23"/>
    <x v="8"/>
    <x v="1"/>
    <x v="3"/>
    <x v="2"/>
    <x v="4"/>
    <s v="City Mall Branch"/>
    <x v="38"/>
    <x v="1"/>
    <x v="3"/>
    <s v="No"/>
    <n v="4"/>
    <x v="1"/>
    <x v="14"/>
    <x v="42"/>
    <x v="8"/>
    <x v="42"/>
  </r>
  <r>
    <n v="1044"/>
    <s v="Sneha Desai"/>
    <x v="0"/>
    <x v="0"/>
    <x v="1"/>
    <x v="3"/>
    <x v="3"/>
    <x v="2"/>
    <x v="2"/>
    <s v="Highway Branch"/>
    <x v="39"/>
    <x v="3"/>
    <x v="0"/>
    <s v="Yes"/>
    <n v="5"/>
    <x v="2"/>
    <x v="8"/>
    <x v="43"/>
    <x v="1"/>
    <x v="43"/>
  </r>
  <r>
    <n v="1045"/>
    <s v="Ankit Mehta"/>
    <x v="0"/>
    <x v="9"/>
    <x v="6"/>
    <x v="3"/>
    <x v="3"/>
    <x v="2"/>
    <x v="3"/>
    <s v="Central Showroom"/>
    <x v="40"/>
    <x v="3"/>
    <x v="0"/>
    <s v="Yes"/>
    <n v="5"/>
    <x v="0"/>
    <x v="20"/>
    <x v="44"/>
    <x v="6"/>
    <x v="44"/>
  </r>
  <r>
    <n v="1046"/>
    <s v="Neha Verma"/>
    <x v="0"/>
    <x v="16"/>
    <x v="1"/>
    <x v="2"/>
    <x v="4"/>
    <x v="3"/>
    <x v="1"/>
    <s v="Central Showroom"/>
    <x v="41"/>
    <x v="1"/>
    <x v="2"/>
    <s v="No"/>
    <n v="3"/>
    <x v="1"/>
    <x v="13"/>
    <x v="45"/>
    <x v="1"/>
    <x v="45"/>
  </r>
  <r>
    <n v="1047"/>
    <s v="Suresh Nair"/>
    <x v="0"/>
    <x v="21"/>
    <x v="0"/>
    <x v="2"/>
    <x v="9"/>
    <x v="6"/>
    <x v="1"/>
    <s v="Premium Lounge"/>
    <x v="42"/>
    <x v="3"/>
    <x v="0"/>
    <s v="Yes"/>
    <n v="3"/>
    <x v="3"/>
    <x v="17"/>
    <x v="46"/>
    <x v="0"/>
    <x v="46"/>
  </r>
  <r>
    <n v="1048"/>
    <s v="Neha Verma"/>
    <x v="1"/>
    <x v="0"/>
    <x v="0"/>
    <x v="2"/>
    <x v="9"/>
    <x v="6"/>
    <x v="3"/>
    <s v="City Mall Branch"/>
    <x v="43"/>
    <x v="3"/>
    <x v="2"/>
    <s v="No"/>
    <n v="4"/>
    <x v="1"/>
    <x v="5"/>
    <x v="47"/>
    <x v="0"/>
    <x v="47"/>
  </r>
  <r>
    <n v="1049"/>
    <s v="Neha Verma"/>
    <x v="1"/>
    <x v="13"/>
    <x v="8"/>
    <x v="0"/>
    <x v="1"/>
    <x v="1"/>
    <x v="0"/>
    <s v="Premium Lounge"/>
    <x v="44"/>
    <x v="3"/>
    <x v="3"/>
    <s v="No"/>
    <n v="5"/>
    <x v="3"/>
    <x v="8"/>
    <x v="48"/>
    <x v="8"/>
    <x v="48"/>
  </r>
  <r>
    <n v="1050"/>
    <s v="Vikas Joshi"/>
    <x v="0"/>
    <x v="20"/>
    <x v="0"/>
    <x v="2"/>
    <x v="9"/>
    <x v="6"/>
    <x v="2"/>
    <s v="Premium Lounge"/>
    <x v="45"/>
    <x v="1"/>
    <x v="4"/>
    <s v="No"/>
    <n v="3"/>
    <x v="3"/>
    <x v="7"/>
    <x v="49"/>
    <x v="0"/>
    <x v="49"/>
  </r>
  <r>
    <n v="1051"/>
    <s v="Rahul Sharma"/>
    <x v="1"/>
    <x v="24"/>
    <x v="5"/>
    <x v="2"/>
    <x v="7"/>
    <x v="0"/>
    <x v="3"/>
    <s v="Highway Branch"/>
    <x v="46"/>
    <x v="2"/>
    <x v="4"/>
    <s v="Yes"/>
    <n v="5"/>
    <x v="0"/>
    <x v="1"/>
    <x v="50"/>
    <x v="5"/>
    <x v="50"/>
  </r>
  <r>
    <n v="1052"/>
    <s v="Aman Jain"/>
    <x v="1"/>
    <x v="9"/>
    <x v="5"/>
    <x v="3"/>
    <x v="6"/>
    <x v="5"/>
    <x v="2"/>
    <s v="Central Showroom"/>
    <x v="47"/>
    <x v="0"/>
    <x v="0"/>
    <s v="No"/>
    <n v="3"/>
    <x v="1"/>
    <x v="9"/>
    <x v="51"/>
    <x v="5"/>
    <x v="51"/>
  </r>
  <r>
    <n v="1053"/>
    <s v="Kavita Shah"/>
    <x v="0"/>
    <x v="22"/>
    <x v="0"/>
    <x v="3"/>
    <x v="4"/>
    <x v="3"/>
    <x v="3"/>
    <s v="Highway Branch"/>
    <x v="48"/>
    <x v="3"/>
    <x v="2"/>
    <s v="Yes"/>
    <n v="3"/>
    <x v="0"/>
    <x v="10"/>
    <x v="52"/>
    <x v="0"/>
    <x v="52"/>
  </r>
  <r>
    <n v="1054"/>
    <s v="Mohit Gupta"/>
    <x v="0"/>
    <x v="4"/>
    <x v="9"/>
    <x v="3"/>
    <x v="5"/>
    <x v="4"/>
    <x v="3"/>
    <s v="City Mall Branch"/>
    <x v="49"/>
    <x v="3"/>
    <x v="4"/>
    <s v="Yes"/>
    <n v="2"/>
    <x v="0"/>
    <x v="6"/>
    <x v="53"/>
    <x v="9"/>
    <x v="53"/>
  </r>
  <r>
    <n v="1055"/>
    <s v="Aman Jain"/>
    <x v="1"/>
    <x v="26"/>
    <x v="2"/>
    <x v="1"/>
    <x v="4"/>
    <x v="3"/>
    <x v="1"/>
    <s v="Premium Lounge"/>
    <x v="50"/>
    <x v="3"/>
    <x v="3"/>
    <s v="Yes"/>
    <n v="3"/>
    <x v="1"/>
    <x v="16"/>
    <x v="54"/>
    <x v="2"/>
    <x v="54"/>
  </r>
  <r>
    <n v="1056"/>
    <s v="Kavita Shah"/>
    <x v="1"/>
    <x v="1"/>
    <x v="4"/>
    <x v="3"/>
    <x v="6"/>
    <x v="5"/>
    <x v="2"/>
    <s v="Premium Lounge"/>
    <x v="51"/>
    <x v="3"/>
    <x v="0"/>
    <s v="Yes"/>
    <n v="4"/>
    <x v="3"/>
    <x v="17"/>
    <x v="55"/>
    <x v="4"/>
    <x v="55"/>
  </r>
  <r>
    <n v="1057"/>
    <s v="Riya Kapoor"/>
    <x v="1"/>
    <x v="18"/>
    <x v="6"/>
    <x v="1"/>
    <x v="9"/>
    <x v="6"/>
    <x v="3"/>
    <s v="Premium Lounge"/>
    <x v="52"/>
    <x v="3"/>
    <x v="2"/>
    <s v="No"/>
    <n v="3"/>
    <x v="1"/>
    <x v="6"/>
    <x v="56"/>
    <x v="6"/>
    <x v="56"/>
  </r>
  <r>
    <n v="1058"/>
    <s v="Ankit Mehta"/>
    <x v="0"/>
    <x v="27"/>
    <x v="2"/>
    <x v="3"/>
    <x v="2"/>
    <x v="0"/>
    <x v="4"/>
    <s v="City Mall Branch"/>
    <x v="53"/>
    <x v="1"/>
    <x v="3"/>
    <s v="Yes"/>
    <n v="5"/>
    <x v="2"/>
    <x v="13"/>
    <x v="57"/>
    <x v="2"/>
    <x v="57"/>
  </r>
  <r>
    <n v="1059"/>
    <s v="Nitin Agarwal"/>
    <x v="1"/>
    <x v="28"/>
    <x v="5"/>
    <x v="3"/>
    <x v="1"/>
    <x v="1"/>
    <x v="2"/>
    <s v="City Mall Branch"/>
    <x v="54"/>
    <x v="4"/>
    <x v="4"/>
    <s v="No"/>
    <n v="3"/>
    <x v="1"/>
    <x v="5"/>
    <x v="58"/>
    <x v="5"/>
    <x v="58"/>
  </r>
  <r>
    <n v="1060"/>
    <s v="Harsh Patel"/>
    <x v="0"/>
    <x v="5"/>
    <x v="0"/>
    <x v="0"/>
    <x v="7"/>
    <x v="0"/>
    <x v="2"/>
    <s v="Highway Branch"/>
    <x v="55"/>
    <x v="3"/>
    <x v="3"/>
    <s v="Yes"/>
    <n v="3"/>
    <x v="3"/>
    <x v="11"/>
    <x v="59"/>
    <x v="0"/>
    <x v="59"/>
  </r>
  <r>
    <n v="1061"/>
    <s v="Pooja Malhotra"/>
    <x v="0"/>
    <x v="15"/>
    <x v="7"/>
    <x v="1"/>
    <x v="5"/>
    <x v="4"/>
    <x v="2"/>
    <s v="City Mall Branch"/>
    <x v="56"/>
    <x v="3"/>
    <x v="4"/>
    <s v="No"/>
    <n v="3"/>
    <x v="1"/>
    <x v="17"/>
    <x v="60"/>
    <x v="7"/>
    <x v="60"/>
  </r>
  <r>
    <n v="1062"/>
    <s v="Suresh Nair"/>
    <x v="0"/>
    <x v="21"/>
    <x v="5"/>
    <x v="2"/>
    <x v="3"/>
    <x v="2"/>
    <x v="0"/>
    <s v="Central Showroom"/>
    <x v="57"/>
    <x v="4"/>
    <x v="1"/>
    <s v="Yes"/>
    <n v="4"/>
    <x v="0"/>
    <x v="2"/>
    <x v="61"/>
    <x v="5"/>
    <x v="61"/>
  </r>
  <r>
    <n v="1063"/>
    <s v="Nitin Agarwal"/>
    <x v="0"/>
    <x v="6"/>
    <x v="8"/>
    <x v="1"/>
    <x v="3"/>
    <x v="2"/>
    <x v="3"/>
    <s v="Premium Lounge"/>
    <x v="58"/>
    <x v="0"/>
    <x v="0"/>
    <s v="No"/>
    <n v="5"/>
    <x v="1"/>
    <x v="7"/>
    <x v="62"/>
    <x v="8"/>
    <x v="62"/>
  </r>
  <r>
    <n v="1064"/>
    <s v="Pooja Malhotra"/>
    <x v="1"/>
    <x v="19"/>
    <x v="5"/>
    <x v="0"/>
    <x v="5"/>
    <x v="4"/>
    <x v="3"/>
    <s v="City Mall Branch"/>
    <x v="59"/>
    <x v="1"/>
    <x v="0"/>
    <s v="Yes"/>
    <n v="3"/>
    <x v="0"/>
    <x v="12"/>
    <x v="63"/>
    <x v="5"/>
    <x v="63"/>
  </r>
  <r>
    <n v="1065"/>
    <s v="Nitin Agarwal"/>
    <x v="1"/>
    <x v="0"/>
    <x v="9"/>
    <x v="2"/>
    <x v="4"/>
    <x v="3"/>
    <x v="0"/>
    <s v="Premium Lounge"/>
    <x v="60"/>
    <x v="2"/>
    <x v="3"/>
    <s v="No"/>
    <n v="4"/>
    <x v="2"/>
    <x v="8"/>
    <x v="64"/>
    <x v="9"/>
    <x v="64"/>
  </r>
  <r>
    <n v="1066"/>
    <s v="Priya Shah"/>
    <x v="1"/>
    <x v="29"/>
    <x v="8"/>
    <x v="1"/>
    <x v="7"/>
    <x v="0"/>
    <x v="0"/>
    <s v="Premium Lounge"/>
    <x v="61"/>
    <x v="2"/>
    <x v="4"/>
    <s v="No"/>
    <n v="2"/>
    <x v="3"/>
    <x v="15"/>
    <x v="65"/>
    <x v="8"/>
    <x v="65"/>
  </r>
  <r>
    <n v="1067"/>
    <s v="Suresh Nair"/>
    <x v="0"/>
    <x v="21"/>
    <x v="1"/>
    <x v="1"/>
    <x v="9"/>
    <x v="6"/>
    <x v="0"/>
    <s v="Premium Lounge"/>
    <x v="62"/>
    <x v="3"/>
    <x v="4"/>
    <s v="Yes"/>
    <n v="4"/>
    <x v="2"/>
    <x v="7"/>
    <x v="66"/>
    <x v="1"/>
    <x v="66"/>
  </r>
  <r>
    <n v="1068"/>
    <s v="Riya Kapoor"/>
    <x v="1"/>
    <x v="18"/>
    <x v="0"/>
    <x v="0"/>
    <x v="4"/>
    <x v="3"/>
    <x v="2"/>
    <s v="Highway Branch"/>
    <x v="63"/>
    <x v="1"/>
    <x v="4"/>
    <s v="Yes"/>
    <n v="3"/>
    <x v="2"/>
    <x v="7"/>
    <x v="67"/>
    <x v="0"/>
    <x v="67"/>
  </r>
  <r>
    <n v="1069"/>
    <s v="Kavita Shah"/>
    <x v="0"/>
    <x v="30"/>
    <x v="3"/>
    <x v="1"/>
    <x v="2"/>
    <x v="0"/>
    <x v="0"/>
    <s v="Highway Branch"/>
    <x v="64"/>
    <x v="2"/>
    <x v="4"/>
    <s v="No"/>
    <n v="4"/>
    <x v="3"/>
    <x v="17"/>
    <x v="68"/>
    <x v="3"/>
    <x v="68"/>
  </r>
  <r>
    <n v="1070"/>
    <s v="Kavita Shah"/>
    <x v="0"/>
    <x v="19"/>
    <x v="1"/>
    <x v="1"/>
    <x v="8"/>
    <x v="6"/>
    <x v="1"/>
    <s v="Highway Branch"/>
    <x v="65"/>
    <x v="1"/>
    <x v="2"/>
    <s v="Yes"/>
    <n v="3"/>
    <x v="3"/>
    <x v="0"/>
    <x v="69"/>
    <x v="1"/>
    <x v="69"/>
  </r>
  <r>
    <n v="1071"/>
    <s v="Pooja Malhotra"/>
    <x v="0"/>
    <x v="24"/>
    <x v="3"/>
    <x v="2"/>
    <x v="9"/>
    <x v="6"/>
    <x v="4"/>
    <s v="Premium Lounge"/>
    <x v="66"/>
    <x v="1"/>
    <x v="2"/>
    <s v="No"/>
    <n v="3"/>
    <x v="2"/>
    <x v="11"/>
    <x v="70"/>
    <x v="3"/>
    <x v="70"/>
  </r>
  <r>
    <n v="1072"/>
    <s v="Mohit Gupta"/>
    <x v="1"/>
    <x v="8"/>
    <x v="2"/>
    <x v="0"/>
    <x v="5"/>
    <x v="4"/>
    <x v="1"/>
    <s v="Highway Branch"/>
    <x v="59"/>
    <x v="1"/>
    <x v="3"/>
    <s v="Yes"/>
    <n v="2"/>
    <x v="0"/>
    <x v="19"/>
    <x v="71"/>
    <x v="2"/>
    <x v="71"/>
  </r>
  <r>
    <n v="1073"/>
    <s v="Riya Kapoor"/>
    <x v="1"/>
    <x v="8"/>
    <x v="2"/>
    <x v="0"/>
    <x v="4"/>
    <x v="3"/>
    <x v="1"/>
    <s v="Premium Lounge"/>
    <x v="67"/>
    <x v="4"/>
    <x v="1"/>
    <s v="No"/>
    <n v="4"/>
    <x v="1"/>
    <x v="16"/>
    <x v="72"/>
    <x v="2"/>
    <x v="72"/>
  </r>
  <r>
    <n v="1074"/>
    <s v="Aman Jain"/>
    <x v="0"/>
    <x v="30"/>
    <x v="1"/>
    <x v="3"/>
    <x v="3"/>
    <x v="2"/>
    <x v="4"/>
    <s v="Central Showroom"/>
    <x v="68"/>
    <x v="3"/>
    <x v="4"/>
    <s v="Yes"/>
    <n v="4"/>
    <x v="1"/>
    <x v="8"/>
    <x v="73"/>
    <x v="1"/>
    <x v="73"/>
  </r>
  <r>
    <n v="1075"/>
    <s v="Pooja Malhotra"/>
    <x v="0"/>
    <x v="28"/>
    <x v="0"/>
    <x v="0"/>
    <x v="6"/>
    <x v="5"/>
    <x v="4"/>
    <s v="Premium Lounge"/>
    <x v="69"/>
    <x v="4"/>
    <x v="2"/>
    <s v="No"/>
    <n v="4"/>
    <x v="0"/>
    <x v="13"/>
    <x v="74"/>
    <x v="0"/>
    <x v="74"/>
  </r>
  <r>
    <n v="1076"/>
    <s v="Pooja Malhotra"/>
    <x v="0"/>
    <x v="26"/>
    <x v="2"/>
    <x v="0"/>
    <x v="9"/>
    <x v="6"/>
    <x v="2"/>
    <s v="Premium Lounge"/>
    <x v="70"/>
    <x v="1"/>
    <x v="2"/>
    <s v="Yes"/>
    <n v="3"/>
    <x v="0"/>
    <x v="2"/>
    <x v="75"/>
    <x v="2"/>
    <x v="75"/>
  </r>
  <r>
    <n v="1077"/>
    <s v="Mohit Gupta"/>
    <x v="1"/>
    <x v="12"/>
    <x v="3"/>
    <x v="1"/>
    <x v="7"/>
    <x v="0"/>
    <x v="1"/>
    <s v="City Mall Branch"/>
    <x v="71"/>
    <x v="2"/>
    <x v="2"/>
    <s v="Yes"/>
    <n v="3"/>
    <x v="3"/>
    <x v="20"/>
    <x v="76"/>
    <x v="3"/>
    <x v="76"/>
  </r>
  <r>
    <n v="1078"/>
    <s v="Priya Shah"/>
    <x v="1"/>
    <x v="29"/>
    <x v="3"/>
    <x v="2"/>
    <x v="1"/>
    <x v="1"/>
    <x v="2"/>
    <s v="Highway Branch"/>
    <x v="72"/>
    <x v="0"/>
    <x v="4"/>
    <s v="Yes"/>
    <n v="3"/>
    <x v="3"/>
    <x v="18"/>
    <x v="77"/>
    <x v="3"/>
    <x v="77"/>
  </r>
  <r>
    <n v="1079"/>
    <s v="Pooja Malhotra"/>
    <x v="1"/>
    <x v="30"/>
    <x v="6"/>
    <x v="0"/>
    <x v="6"/>
    <x v="5"/>
    <x v="2"/>
    <s v="Premium Lounge"/>
    <x v="73"/>
    <x v="4"/>
    <x v="0"/>
    <s v="No"/>
    <n v="3"/>
    <x v="2"/>
    <x v="7"/>
    <x v="78"/>
    <x v="6"/>
    <x v="78"/>
  </r>
  <r>
    <n v="1080"/>
    <s v="Riya Kapoor"/>
    <x v="0"/>
    <x v="18"/>
    <x v="5"/>
    <x v="2"/>
    <x v="6"/>
    <x v="5"/>
    <x v="1"/>
    <s v="City Mall Branch"/>
    <x v="74"/>
    <x v="1"/>
    <x v="0"/>
    <s v="No"/>
    <n v="3"/>
    <x v="2"/>
    <x v="6"/>
    <x v="79"/>
    <x v="5"/>
    <x v="79"/>
  </r>
  <r>
    <n v="1081"/>
    <s v="Vikas Joshi"/>
    <x v="0"/>
    <x v="31"/>
    <x v="3"/>
    <x v="2"/>
    <x v="2"/>
    <x v="0"/>
    <x v="2"/>
    <s v="Premium Lounge"/>
    <x v="75"/>
    <x v="0"/>
    <x v="1"/>
    <s v="Yes"/>
    <n v="5"/>
    <x v="0"/>
    <x v="0"/>
    <x v="80"/>
    <x v="3"/>
    <x v="80"/>
  </r>
  <r>
    <n v="1082"/>
    <s v="Ankit Mehta"/>
    <x v="1"/>
    <x v="32"/>
    <x v="4"/>
    <x v="0"/>
    <x v="5"/>
    <x v="4"/>
    <x v="0"/>
    <s v="Central Showroom"/>
    <x v="76"/>
    <x v="1"/>
    <x v="2"/>
    <s v="No"/>
    <n v="2"/>
    <x v="3"/>
    <x v="3"/>
    <x v="81"/>
    <x v="4"/>
    <x v="81"/>
  </r>
  <r>
    <n v="1083"/>
    <s v="Rohit Kumar"/>
    <x v="0"/>
    <x v="32"/>
    <x v="4"/>
    <x v="2"/>
    <x v="8"/>
    <x v="6"/>
    <x v="2"/>
    <s v="Premium Lounge"/>
    <x v="77"/>
    <x v="1"/>
    <x v="3"/>
    <s v="Yes"/>
    <n v="2"/>
    <x v="1"/>
    <x v="7"/>
    <x v="82"/>
    <x v="4"/>
    <x v="82"/>
  </r>
  <r>
    <n v="1084"/>
    <s v="Rohit Kumar"/>
    <x v="0"/>
    <x v="17"/>
    <x v="4"/>
    <x v="3"/>
    <x v="0"/>
    <x v="0"/>
    <x v="1"/>
    <s v="City Mall Branch"/>
    <x v="78"/>
    <x v="4"/>
    <x v="2"/>
    <s v="Yes"/>
    <n v="5"/>
    <x v="1"/>
    <x v="4"/>
    <x v="83"/>
    <x v="4"/>
    <x v="83"/>
  </r>
  <r>
    <n v="1085"/>
    <s v="Pooja Malhotra"/>
    <x v="1"/>
    <x v="31"/>
    <x v="8"/>
    <x v="2"/>
    <x v="2"/>
    <x v="0"/>
    <x v="0"/>
    <s v="Central Showroom"/>
    <x v="79"/>
    <x v="2"/>
    <x v="4"/>
    <s v="Yes"/>
    <n v="2"/>
    <x v="2"/>
    <x v="0"/>
    <x v="84"/>
    <x v="8"/>
    <x v="84"/>
  </r>
  <r>
    <n v="1086"/>
    <s v="Suresh Nair"/>
    <x v="0"/>
    <x v="2"/>
    <x v="5"/>
    <x v="0"/>
    <x v="8"/>
    <x v="6"/>
    <x v="1"/>
    <s v="City Mall Branch"/>
    <x v="80"/>
    <x v="0"/>
    <x v="1"/>
    <s v="Yes"/>
    <n v="5"/>
    <x v="1"/>
    <x v="20"/>
    <x v="85"/>
    <x v="5"/>
    <x v="85"/>
  </r>
  <r>
    <n v="1087"/>
    <s v="Kavita Shah"/>
    <x v="1"/>
    <x v="30"/>
    <x v="8"/>
    <x v="2"/>
    <x v="0"/>
    <x v="0"/>
    <x v="1"/>
    <s v="Central Showroom"/>
    <x v="81"/>
    <x v="2"/>
    <x v="2"/>
    <s v="No"/>
    <n v="2"/>
    <x v="2"/>
    <x v="11"/>
    <x v="86"/>
    <x v="8"/>
    <x v="86"/>
  </r>
  <r>
    <n v="1088"/>
    <s v="Sneha Desai"/>
    <x v="0"/>
    <x v="31"/>
    <x v="6"/>
    <x v="2"/>
    <x v="9"/>
    <x v="6"/>
    <x v="3"/>
    <s v="Premium Lounge"/>
    <x v="67"/>
    <x v="1"/>
    <x v="2"/>
    <s v="Yes"/>
    <n v="4"/>
    <x v="1"/>
    <x v="17"/>
    <x v="87"/>
    <x v="6"/>
    <x v="87"/>
  </r>
  <r>
    <n v="1089"/>
    <s v="Vikas Joshi"/>
    <x v="1"/>
    <x v="13"/>
    <x v="3"/>
    <x v="0"/>
    <x v="2"/>
    <x v="0"/>
    <x v="1"/>
    <s v="Central Showroom"/>
    <x v="82"/>
    <x v="4"/>
    <x v="1"/>
    <s v="No"/>
    <n v="2"/>
    <x v="2"/>
    <x v="11"/>
    <x v="88"/>
    <x v="3"/>
    <x v="88"/>
  </r>
  <r>
    <n v="1090"/>
    <s v="Rohit Kumar"/>
    <x v="1"/>
    <x v="13"/>
    <x v="1"/>
    <x v="3"/>
    <x v="7"/>
    <x v="0"/>
    <x v="4"/>
    <s v="City Mall Branch"/>
    <x v="83"/>
    <x v="1"/>
    <x v="4"/>
    <s v="No"/>
    <n v="4"/>
    <x v="3"/>
    <x v="5"/>
    <x v="89"/>
    <x v="1"/>
    <x v="89"/>
  </r>
  <r>
    <n v="1091"/>
    <s v="Mohit Gupta"/>
    <x v="0"/>
    <x v="1"/>
    <x v="1"/>
    <x v="3"/>
    <x v="8"/>
    <x v="6"/>
    <x v="3"/>
    <s v="Central Showroom"/>
    <x v="84"/>
    <x v="3"/>
    <x v="0"/>
    <s v="No"/>
    <n v="2"/>
    <x v="2"/>
    <x v="7"/>
    <x v="90"/>
    <x v="1"/>
    <x v="90"/>
  </r>
  <r>
    <n v="1092"/>
    <s v="Ankit Mehta"/>
    <x v="0"/>
    <x v="15"/>
    <x v="2"/>
    <x v="2"/>
    <x v="4"/>
    <x v="3"/>
    <x v="1"/>
    <s v="City Mall Branch"/>
    <x v="85"/>
    <x v="1"/>
    <x v="0"/>
    <s v="Yes"/>
    <n v="2"/>
    <x v="3"/>
    <x v="10"/>
    <x v="91"/>
    <x v="2"/>
    <x v="91"/>
  </r>
  <r>
    <n v="1093"/>
    <s v="Pooja Malhotra"/>
    <x v="0"/>
    <x v="10"/>
    <x v="3"/>
    <x v="0"/>
    <x v="6"/>
    <x v="5"/>
    <x v="0"/>
    <s v="Highway Branch"/>
    <x v="86"/>
    <x v="4"/>
    <x v="3"/>
    <s v="No"/>
    <n v="4"/>
    <x v="2"/>
    <x v="16"/>
    <x v="92"/>
    <x v="3"/>
    <x v="92"/>
  </r>
  <r>
    <n v="1094"/>
    <s v="Vikas Joshi"/>
    <x v="0"/>
    <x v="33"/>
    <x v="8"/>
    <x v="1"/>
    <x v="7"/>
    <x v="0"/>
    <x v="3"/>
    <s v="Highway Branch"/>
    <x v="87"/>
    <x v="3"/>
    <x v="1"/>
    <s v="Yes"/>
    <n v="3"/>
    <x v="1"/>
    <x v="17"/>
    <x v="93"/>
    <x v="8"/>
    <x v="93"/>
  </r>
  <r>
    <n v="1095"/>
    <s v="Aman Jain"/>
    <x v="0"/>
    <x v="5"/>
    <x v="6"/>
    <x v="0"/>
    <x v="7"/>
    <x v="0"/>
    <x v="0"/>
    <s v="Premium Lounge"/>
    <x v="69"/>
    <x v="3"/>
    <x v="0"/>
    <s v="No"/>
    <n v="2"/>
    <x v="2"/>
    <x v="17"/>
    <x v="94"/>
    <x v="6"/>
    <x v="94"/>
  </r>
  <r>
    <n v="1096"/>
    <s v="Ankit Mehta"/>
    <x v="1"/>
    <x v="10"/>
    <x v="7"/>
    <x v="1"/>
    <x v="7"/>
    <x v="0"/>
    <x v="2"/>
    <s v="Premium Lounge"/>
    <x v="88"/>
    <x v="3"/>
    <x v="2"/>
    <s v="Yes"/>
    <n v="4"/>
    <x v="1"/>
    <x v="15"/>
    <x v="95"/>
    <x v="7"/>
    <x v="95"/>
  </r>
  <r>
    <n v="1097"/>
    <s v="Priya Shah"/>
    <x v="0"/>
    <x v="16"/>
    <x v="4"/>
    <x v="0"/>
    <x v="1"/>
    <x v="1"/>
    <x v="0"/>
    <s v="Central Showroom"/>
    <x v="89"/>
    <x v="4"/>
    <x v="0"/>
    <s v="No"/>
    <n v="2"/>
    <x v="0"/>
    <x v="20"/>
    <x v="96"/>
    <x v="4"/>
    <x v="96"/>
  </r>
  <r>
    <n v="1098"/>
    <s v="Pooja Malhotra"/>
    <x v="0"/>
    <x v="24"/>
    <x v="6"/>
    <x v="3"/>
    <x v="4"/>
    <x v="3"/>
    <x v="1"/>
    <s v="Central Showroom"/>
    <x v="23"/>
    <x v="1"/>
    <x v="0"/>
    <s v="No"/>
    <n v="2"/>
    <x v="0"/>
    <x v="6"/>
    <x v="97"/>
    <x v="6"/>
    <x v="97"/>
  </r>
  <r>
    <n v="1099"/>
    <s v="Kavita Shah"/>
    <x v="1"/>
    <x v="2"/>
    <x v="3"/>
    <x v="2"/>
    <x v="2"/>
    <x v="0"/>
    <x v="3"/>
    <s v="Highway Branch"/>
    <x v="90"/>
    <x v="3"/>
    <x v="4"/>
    <s v="Yes"/>
    <n v="5"/>
    <x v="1"/>
    <x v="20"/>
    <x v="98"/>
    <x v="3"/>
    <x v="98"/>
  </r>
  <r>
    <n v="1100"/>
    <s v="Nitin Agarwal"/>
    <x v="0"/>
    <x v="32"/>
    <x v="7"/>
    <x v="2"/>
    <x v="2"/>
    <x v="0"/>
    <x v="4"/>
    <s v="Highway Branch"/>
    <x v="91"/>
    <x v="3"/>
    <x v="3"/>
    <s v="No"/>
    <n v="3"/>
    <x v="1"/>
    <x v="10"/>
    <x v="99"/>
    <x v="7"/>
    <x v="99"/>
  </r>
  <r>
    <n v="1101"/>
    <s v="Vikas Joshi"/>
    <x v="1"/>
    <x v="15"/>
    <x v="9"/>
    <x v="3"/>
    <x v="7"/>
    <x v="0"/>
    <x v="4"/>
    <s v="Central Showroom"/>
    <x v="92"/>
    <x v="3"/>
    <x v="0"/>
    <s v="Yes"/>
    <n v="3"/>
    <x v="2"/>
    <x v="17"/>
    <x v="100"/>
    <x v="9"/>
    <x v="100"/>
  </r>
  <r>
    <n v="1102"/>
    <s v="Ankit Mehta"/>
    <x v="0"/>
    <x v="27"/>
    <x v="4"/>
    <x v="0"/>
    <x v="0"/>
    <x v="0"/>
    <x v="3"/>
    <s v="Central Showroom"/>
    <x v="93"/>
    <x v="0"/>
    <x v="4"/>
    <s v="Yes"/>
    <n v="5"/>
    <x v="3"/>
    <x v="14"/>
    <x v="101"/>
    <x v="4"/>
    <x v="101"/>
  </r>
  <r>
    <n v="1103"/>
    <s v="Ankit Mehta"/>
    <x v="1"/>
    <x v="8"/>
    <x v="5"/>
    <x v="0"/>
    <x v="4"/>
    <x v="3"/>
    <x v="3"/>
    <s v="Highway Branch"/>
    <x v="2"/>
    <x v="3"/>
    <x v="2"/>
    <s v="No"/>
    <n v="5"/>
    <x v="2"/>
    <x v="9"/>
    <x v="102"/>
    <x v="5"/>
    <x v="102"/>
  </r>
  <r>
    <n v="1104"/>
    <s v="Suresh Nair"/>
    <x v="1"/>
    <x v="12"/>
    <x v="5"/>
    <x v="0"/>
    <x v="7"/>
    <x v="0"/>
    <x v="0"/>
    <s v="Premium Lounge"/>
    <x v="94"/>
    <x v="2"/>
    <x v="2"/>
    <s v="Yes"/>
    <n v="4"/>
    <x v="2"/>
    <x v="10"/>
    <x v="103"/>
    <x v="5"/>
    <x v="103"/>
  </r>
  <r>
    <n v="1105"/>
    <s v="Mohit Gupta"/>
    <x v="0"/>
    <x v="25"/>
    <x v="7"/>
    <x v="3"/>
    <x v="5"/>
    <x v="4"/>
    <x v="0"/>
    <s v="Highway Branch"/>
    <x v="95"/>
    <x v="2"/>
    <x v="3"/>
    <s v="Yes"/>
    <n v="5"/>
    <x v="1"/>
    <x v="19"/>
    <x v="104"/>
    <x v="7"/>
    <x v="104"/>
  </r>
  <r>
    <n v="1106"/>
    <s v="Mohit Gupta"/>
    <x v="0"/>
    <x v="27"/>
    <x v="8"/>
    <x v="3"/>
    <x v="8"/>
    <x v="6"/>
    <x v="2"/>
    <s v="Premium Lounge"/>
    <x v="96"/>
    <x v="1"/>
    <x v="3"/>
    <s v="No"/>
    <n v="3"/>
    <x v="3"/>
    <x v="0"/>
    <x v="105"/>
    <x v="8"/>
    <x v="105"/>
  </r>
  <r>
    <n v="1107"/>
    <s v="Sneha Desai"/>
    <x v="0"/>
    <x v="19"/>
    <x v="8"/>
    <x v="0"/>
    <x v="3"/>
    <x v="2"/>
    <x v="4"/>
    <s v="Highway Branch"/>
    <x v="97"/>
    <x v="0"/>
    <x v="1"/>
    <s v="No"/>
    <n v="2"/>
    <x v="1"/>
    <x v="6"/>
    <x v="106"/>
    <x v="8"/>
    <x v="106"/>
  </r>
  <r>
    <n v="1108"/>
    <s v="Aman Jain"/>
    <x v="1"/>
    <x v="11"/>
    <x v="1"/>
    <x v="2"/>
    <x v="9"/>
    <x v="6"/>
    <x v="3"/>
    <s v="City Mall Branch"/>
    <x v="98"/>
    <x v="0"/>
    <x v="2"/>
    <s v="No"/>
    <n v="4"/>
    <x v="3"/>
    <x v="18"/>
    <x v="107"/>
    <x v="1"/>
    <x v="107"/>
  </r>
  <r>
    <n v="1109"/>
    <s v="Vikas Joshi"/>
    <x v="1"/>
    <x v="18"/>
    <x v="1"/>
    <x v="2"/>
    <x v="4"/>
    <x v="3"/>
    <x v="2"/>
    <s v="Central Showroom"/>
    <x v="99"/>
    <x v="3"/>
    <x v="0"/>
    <s v="Yes"/>
    <n v="3"/>
    <x v="1"/>
    <x v="5"/>
    <x v="108"/>
    <x v="1"/>
    <x v="108"/>
  </r>
  <r>
    <n v="1110"/>
    <s v="Sneha Desai"/>
    <x v="1"/>
    <x v="23"/>
    <x v="8"/>
    <x v="2"/>
    <x v="6"/>
    <x v="5"/>
    <x v="4"/>
    <s v="Central Showroom"/>
    <x v="100"/>
    <x v="3"/>
    <x v="0"/>
    <s v="No"/>
    <n v="5"/>
    <x v="1"/>
    <x v="6"/>
    <x v="109"/>
    <x v="8"/>
    <x v="109"/>
  </r>
  <r>
    <n v="1111"/>
    <s v="Ankit Mehta"/>
    <x v="0"/>
    <x v="23"/>
    <x v="5"/>
    <x v="2"/>
    <x v="2"/>
    <x v="0"/>
    <x v="4"/>
    <s v="City Mall Branch"/>
    <x v="101"/>
    <x v="2"/>
    <x v="2"/>
    <s v="No"/>
    <n v="4"/>
    <x v="1"/>
    <x v="9"/>
    <x v="110"/>
    <x v="5"/>
    <x v="110"/>
  </r>
  <r>
    <n v="1112"/>
    <s v="Pooja Malhotra"/>
    <x v="1"/>
    <x v="3"/>
    <x v="7"/>
    <x v="3"/>
    <x v="3"/>
    <x v="2"/>
    <x v="3"/>
    <s v="Highway Branch"/>
    <x v="102"/>
    <x v="4"/>
    <x v="2"/>
    <s v="Yes"/>
    <n v="3"/>
    <x v="1"/>
    <x v="2"/>
    <x v="111"/>
    <x v="7"/>
    <x v="111"/>
  </r>
  <r>
    <n v="1113"/>
    <s v="Sneha Desai"/>
    <x v="0"/>
    <x v="19"/>
    <x v="7"/>
    <x v="3"/>
    <x v="8"/>
    <x v="6"/>
    <x v="3"/>
    <s v="Highway Branch"/>
    <x v="5"/>
    <x v="2"/>
    <x v="2"/>
    <s v="No"/>
    <n v="4"/>
    <x v="2"/>
    <x v="15"/>
    <x v="112"/>
    <x v="7"/>
    <x v="112"/>
  </r>
  <r>
    <n v="1114"/>
    <s v="Kavita Shah"/>
    <x v="0"/>
    <x v="3"/>
    <x v="8"/>
    <x v="3"/>
    <x v="2"/>
    <x v="0"/>
    <x v="3"/>
    <s v="City Mall Branch"/>
    <x v="103"/>
    <x v="1"/>
    <x v="0"/>
    <s v="Yes"/>
    <n v="2"/>
    <x v="2"/>
    <x v="13"/>
    <x v="113"/>
    <x v="8"/>
    <x v="113"/>
  </r>
  <r>
    <n v="1115"/>
    <s v="Riya Kapoor"/>
    <x v="1"/>
    <x v="25"/>
    <x v="8"/>
    <x v="1"/>
    <x v="0"/>
    <x v="0"/>
    <x v="2"/>
    <s v="Premium Lounge"/>
    <x v="104"/>
    <x v="2"/>
    <x v="2"/>
    <s v="Yes"/>
    <n v="5"/>
    <x v="3"/>
    <x v="17"/>
    <x v="114"/>
    <x v="8"/>
    <x v="114"/>
  </r>
  <r>
    <n v="1116"/>
    <s v="Sneha Desai"/>
    <x v="0"/>
    <x v="17"/>
    <x v="5"/>
    <x v="3"/>
    <x v="9"/>
    <x v="6"/>
    <x v="0"/>
    <s v="Highway Branch"/>
    <x v="105"/>
    <x v="3"/>
    <x v="0"/>
    <s v="No"/>
    <n v="2"/>
    <x v="3"/>
    <x v="1"/>
    <x v="115"/>
    <x v="5"/>
    <x v="115"/>
  </r>
  <r>
    <n v="1117"/>
    <s v="Neha Verma"/>
    <x v="0"/>
    <x v="6"/>
    <x v="7"/>
    <x v="3"/>
    <x v="1"/>
    <x v="1"/>
    <x v="2"/>
    <s v="Premium Lounge"/>
    <x v="106"/>
    <x v="4"/>
    <x v="2"/>
    <s v="Yes"/>
    <n v="2"/>
    <x v="3"/>
    <x v="7"/>
    <x v="116"/>
    <x v="7"/>
    <x v="116"/>
  </r>
  <r>
    <n v="1118"/>
    <s v="Neha Verma"/>
    <x v="1"/>
    <x v="26"/>
    <x v="3"/>
    <x v="0"/>
    <x v="3"/>
    <x v="2"/>
    <x v="1"/>
    <s v="Central Showroom"/>
    <x v="107"/>
    <x v="1"/>
    <x v="1"/>
    <s v="Yes"/>
    <n v="5"/>
    <x v="0"/>
    <x v="11"/>
    <x v="117"/>
    <x v="3"/>
    <x v="117"/>
  </r>
  <r>
    <n v="1119"/>
    <s v="Neha Verma"/>
    <x v="0"/>
    <x v="15"/>
    <x v="2"/>
    <x v="3"/>
    <x v="1"/>
    <x v="1"/>
    <x v="2"/>
    <s v="City Mall Branch"/>
    <x v="108"/>
    <x v="4"/>
    <x v="2"/>
    <s v="No"/>
    <n v="4"/>
    <x v="3"/>
    <x v="0"/>
    <x v="118"/>
    <x v="2"/>
    <x v="118"/>
  </r>
  <r>
    <n v="1120"/>
    <s v="Pooja Malhotra"/>
    <x v="1"/>
    <x v="23"/>
    <x v="8"/>
    <x v="0"/>
    <x v="4"/>
    <x v="3"/>
    <x v="2"/>
    <s v="Highway Branch"/>
    <x v="55"/>
    <x v="1"/>
    <x v="2"/>
    <s v="No"/>
    <n v="3"/>
    <x v="2"/>
    <x v="15"/>
    <x v="119"/>
    <x v="8"/>
    <x v="119"/>
  </r>
  <r>
    <n v="1121"/>
    <s v="Suresh Nair"/>
    <x v="1"/>
    <x v="29"/>
    <x v="2"/>
    <x v="2"/>
    <x v="6"/>
    <x v="5"/>
    <x v="4"/>
    <s v="Highway Branch"/>
    <x v="109"/>
    <x v="0"/>
    <x v="1"/>
    <s v="Yes"/>
    <n v="2"/>
    <x v="0"/>
    <x v="9"/>
    <x v="120"/>
    <x v="2"/>
    <x v="120"/>
  </r>
  <r>
    <n v="1122"/>
    <s v="Vikas Joshi"/>
    <x v="0"/>
    <x v="1"/>
    <x v="2"/>
    <x v="0"/>
    <x v="6"/>
    <x v="5"/>
    <x v="1"/>
    <s v="Highway Branch"/>
    <x v="110"/>
    <x v="3"/>
    <x v="0"/>
    <s v="Yes"/>
    <n v="5"/>
    <x v="0"/>
    <x v="14"/>
    <x v="121"/>
    <x v="2"/>
    <x v="121"/>
  </r>
  <r>
    <n v="1123"/>
    <s v="Kavita Shah"/>
    <x v="1"/>
    <x v="34"/>
    <x v="2"/>
    <x v="3"/>
    <x v="3"/>
    <x v="2"/>
    <x v="3"/>
    <s v="Highway Branch"/>
    <x v="29"/>
    <x v="4"/>
    <x v="1"/>
    <s v="Yes"/>
    <n v="5"/>
    <x v="3"/>
    <x v="0"/>
    <x v="122"/>
    <x v="2"/>
    <x v="122"/>
  </r>
  <r>
    <n v="1124"/>
    <s v="Mohit Gupta"/>
    <x v="1"/>
    <x v="13"/>
    <x v="2"/>
    <x v="3"/>
    <x v="2"/>
    <x v="0"/>
    <x v="3"/>
    <s v="Premium Lounge"/>
    <x v="111"/>
    <x v="0"/>
    <x v="1"/>
    <s v="No"/>
    <n v="4"/>
    <x v="3"/>
    <x v="1"/>
    <x v="123"/>
    <x v="2"/>
    <x v="123"/>
  </r>
  <r>
    <n v="1125"/>
    <s v="Rohit Kumar"/>
    <x v="1"/>
    <x v="22"/>
    <x v="8"/>
    <x v="1"/>
    <x v="0"/>
    <x v="0"/>
    <x v="3"/>
    <s v="Premium Lounge"/>
    <x v="112"/>
    <x v="3"/>
    <x v="3"/>
    <s v="No"/>
    <n v="4"/>
    <x v="0"/>
    <x v="1"/>
    <x v="124"/>
    <x v="8"/>
    <x v="124"/>
  </r>
  <r>
    <n v="1126"/>
    <s v="Sneha Desai"/>
    <x v="0"/>
    <x v="3"/>
    <x v="5"/>
    <x v="2"/>
    <x v="4"/>
    <x v="3"/>
    <x v="2"/>
    <s v="Central Showroom"/>
    <x v="113"/>
    <x v="0"/>
    <x v="0"/>
    <s v="No"/>
    <n v="2"/>
    <x v="0"/>
    <x v="17"/>
    <x v="125"/>
    <x v="5"/>
    <x v="125"/>
  </r>
  <r>
    <n v="1127"/>
    <s v="Aman Jain"/>
    <x v="0"/>
    <x v="30"/>
    <x v="3"/>
    <x v="3"/>
    <x v="8"/>
    <x v="6"/>
    <x v="4"/>
    <s v="City Mall Branch"/>
    <x v="114"/>
    <x v="4"/>
    <x v="1"/>
    <s v="No"/>
    <n v="2"/>
    <x v="3"/>
    <x v="3"/>
    <x v="126"/>
    <x v="3"/>
    <x v="126"/>
  </r>
  <r>
    <n v="1128"/>
    <s v="Mohit Gupta"/>
    <x v="1"/>
    <x v="24"/>
    <x v="7"/>
    <x v="2"/>
    <x v="4"/>
    <x v="3"/>
    <x v="3"/>
    <s v="Central Showroom"/>
    <x v="115"/>
    <x v="4"/>
    <x v="0"/>
    <s v="Yes"/>
    <n v="5"/>
    <x v="1"/>
    <x v="2"/>
    <x v="127"/>
    <x v="7"/>
    <x v="127"/>
  </r>
  <r>
    <n v="1129"/>
    <s v="Suresh Nair"/>
    <x v="0"/>
    <x v="35"/>
    <x v="1"/>
    <x v="0"/>
    <x v="1"/>
    <x v="1"/>
    <x v="2"/>
    <s v="Highway Branch"/>
    <x v="116"/>
    <x v="2"/>
    <x v="2"/>
    <s v="Yes"/>
    <n v="5"/>
    <x v="3"/>
    <x v="12"/>
    <x v="128"/>
    <x v="1"/>
    <x v="128"/>
  </r>
  <r>
    <n v="1130"/>
    <s v="Aman Jain"/>
    <x v="0"/>
    <x v="29"/>
    <x v="6"/>
    <x v="1"/>
    <x v="4"/>
    <x v="3"/>
    <x v="0"/>
    <s v="Premium Lounge"/>
    <x v="55"/>
    <x v="2"/>
    <x v="1"/>
    <s v="Yes"/>
    <n v="3"/>
    <x v="0"/>
    <x v="6"/>
    <x v="129"/>
    <x v="6"/>
    <x v="129"/>
  </r>
  <r>
    <n v="1131"/>
    <s v="Riya Kapoor"/>
    <x v="1"/>
    <x v="24"/>
    <x v="9"/>
    <x v="1"/>
    <x v="2"/>
    <x v="0"/>
    <x v="3"/>
    <s v="City Mall Branch"/>
    <x v="117"/>
    <x v="2"/>
    <x v="2"/>
    <s v="Yes"/>
    <n v="5"/>
    <x v="3"/>
    <x v="2"/>
    <x v="130"/>
    <x v="9"/>
    <x v="130"/>
  </r>
  <r>
    <n v="1132"/>
    <s v="Vikas Joshi"/>
    <x v="0"/>
    <x v="2"/>
    <x v="1"/>
    <x v="0"/>
    <x v="8"/>
    <x v="6"/>
    <x v="1"/>
    <s v="Premium Lounge"/>
    <x v="118"/>
    <x v="2"/>
    <x v="1"/>
    <s v="Yes"/>
    <n v="4"/>
    <x v="2"/>
    <x v="10"/>
    <x v="131"/>
    <x v="1"/>
    <x v="131"/>
  </r>
  <r>
    <n v="1133"/>
    <s v="Ankit Mehta"/>
    <x v="0"/>
    <x v="30"/>
    <x v="9"/>
    <x v="0"/>
    <x v="3"/>
    <x v="2"/>
    <x v="3"/>
    <s v="Central Showroom"/>
    <x v="114"/>
    <x v="1"/>
    <x v="3"/>
    <s v="Yes"/>
    <n v="3"/>
    <x v="3"/>
    <x v="16"/>
    <x v="132"/>
    <x v="9"/>
    <x v="132"/>
  </r>
  <r>
    <n v="1134"/>
    <s v="Pooja Malhotra"/>
    <x v="0"/>
    <x v="29"/>
    <x v="7"/>
    <x v="3"/>
    <x v="3"/>
    <x v="2"/>
    <x v="1"/>
    <s v="Highway Branch"/>
    <x v="119"/>
    <x v="3"/>
    <x v="2"/>
    <s v="No"/>
    <n v="3"/>
    <x v="1"/>
    <x v="10"/>
    <x v="133"/>
    <x v="7"/>
    <x v="133"/>
  </r>
  <r>
    <n v="1135"/>
    <s v="Mohit Gupta"/>
    <x v="0"/>
    <x v="0"/>
    <x v="6"/>
    <x v="3"/>
    <x v="3"/>
    <x v="2"/>
    <x v="2"/>
    <s v="Premium Lounge"/>
    <x v="120"/>
    <x v="3"/>
    <x v="4"/>
    <s v="Yes"/>
    <n v="5"/>
    <x v="1"/>
    <x v="4"/>
    <x v="134"/>
    <x v="6"/>
    <x v="134"/>
  </r>
  <r>
    <n v="1136"/>
    <s v="Kavita Shah"/>
    <x v="0"/>
    <x v="6"/>
    <x v="5"/>
    <x v="0"/>
    <x v="2"/>
    <x v="0"/>
    <x v="4"/>
    <s v="Central Showroom"/>
    <x v="55"/>
    <x v="2"/>
    <x v="1"/>
    <s v="Yes"/>
    <n v="5"/>
    <x v="2"/>
    <x v="15"/>
    <x v="135"/>
    <x v="5"/>
    <x v="135"/>
  </r>
  <r>
    <n v="1137"/>
    <s v="Rohit Kumar"/>
    <x v="0"/>
    <x v="0"/>
    <x v="4"/>
    <x v="2"/>
    <x v="8"/>
    <x v="6"/>
    <x v="4"/>
    <s v="Central Showroom"/>
    <x v="26"/>
    <x v="1"/>
    <x v="2"/>
    <s v="Yes"/>
    <n v="3"/>
    <x v="2"/>
    <x v="11"/>
    <x v="136"/>
    <x v="4"/>
    <x v="136"/>
  </r>
  <r>
    <n v="1138"/>
    <s v="Suresh Nair"/>
    <x v="1"/>
    <x v="29"/>
    <x v="9"/>
    <x v="0"/>
    <x v="8"/>
    <x v="6"/>
    <x v="4"/>
    <s v="Highway Branch"/>
    <x v="121"/>
    <x v="1"/>
    <x v="4"/>
    <s v="Yes"/>
    <n v="3"/>
    <x v="0"/>
    <x v="2"/>
    <x v="137"/>
    <x v="9"/>
    <x v="137"/>
  </r>
  <r>
    <n v="1139"/>
    <s v="Neha Verma"/>
    <x v="0"/>
    <x v="5"/>
    <x v="7"/>
    <x v="0"/>
    <x v="1"/>
    <x v="1"/>
    <x v="4"/>
    <s v="Premium Lounge"/>
    <x v="122"/>
    <x v="3"/>
    <x v="4"/>
    <s v="No"/>
    <n v="4"/>
    <x v="2"/>
    <x v="11"/>
    <x v="138"/>
    <x v="7"/>
    <x v="138"/>
  </r>
  <r>
    <n v="1140"/>
    <s v="Priya Shah"/>
    <x v="1"/>
    <x v="34"/>
    <x v="5"/>
    <x v="3"/>
    <x v="8"/>
    <x v="6"/>
    <x v="1"/>
    <s v="Highway Branch"/>
    <x v="123"/>
    <x v="2"/>
    <x v="1"/>
    <s v="No"/>
    <n v="2"/>
    <x v="1"/>
    <x v="6"/>
    <x v="139"/>
    <x v="5"/>
    <x v="139"/>
  </r>
  <r>
    <n v="1141"/>
    <s v="Aman Jain"/>
    <x v="0"/>
    <x v="21"/>
    <x v="6"/>
    <x v="1"/>
    <x v="9"/>
    <x v="6"/>
    <x v="2"/>
    <s v="Premium Lounge"/>
    <x v="124"/>
    <x v="4"/>
    <x v="3"/>
    <s v="Yes"/>
    <n v="4"/>
    <x v="1"/>
    <x v="10"/>
    <x v="140"/>
    <x v="6"/>
    <x v="140"/>
  </r>
  <r>
    <n v="1142"/>
    <s v="Kavita Shah"/>
    <x v="1"/>
    <x v="26"/>
    <x v="8"/>
    <x v="3"/>
    <x v="5"/>
    <x v="4"/>
    <x v="4"/>
    <s v="Central Showroom"/>
    <x v="125"/>
    <x v="0"/>
    <x v="0"/>
    <s v="No"/>
    <n v="2"/>
    <x v="0"/>
    <x v="5"/>
    <x v="141"/>
    <x v="8"/>
    <x v="141"/>
  </r>
  <r>
    <n v="1143"/>
    <s v="Kavita Shah"/>
    <x v="1"/>
    <x v="22"/>
    <x v="1"/>
    <x v="3"/>
    <x v="7"/>
    <x v="0"/>
    <x v="0"/>
    <s v="Highway Branch"/>
    <x v="126"/>
    <x v="1"/>
    <x v="1"/>
    <s v="Yes"/>
    <n v="2"/>
    <x v="3"/>
    <x v="19"/>
    <x v="142"/>
    <x v="1"/>
    <x v="142"/>
  </r>
  <r>
    <n v="1144"/>
    <s v="Kavita Shah"/>
    <x v="0"/>
    <x v="35"/>
    <x v="4"/>
    <x v="3"/>
    <x v="1"/>
    <x v="1"/>
    <x v="0"/>
    <s v="City Mall Branch"/>
    <x v="127"/>
    <x v="0"/>
    <x v="1"/>
    <s v="Yes"/>
    <n v="3"/>
    <x v="0"/>
    <x v="8"/>
    <x v="143"/>
    <x v="4"/>
    <x v="143"/>
  </r>
  <r>
    <n v="1145"/>
    <s v="Sneha Desai"/>
    <x v="1"/>
    <x v="22"/>
    <x v="7"/>
    <x v="1"/>
    <x v="9"/>
    <x v="6"/>
    <x v="2"/>
    <s v="Premium Lounge"/>
    <x v="128"/>
    <x v="4"/>
    <x v="3"/>
    <s v="Yes"/>
    <n v="5"/>
    <x v="1"/>
    <x v="4"/>
    <x v="144"/>
    <x v="7"/>
    <x v="144"/>
  </r>
  <r>
    <n v="1146"/>
    <s v="Priya Shah"/>
    <x v="0"/>
    <x v="23"/>
    <x v="4"/>
    <x v="2"/>
    <x v="5"/>
    <x v="4"/>
    <x v="1"/>
    <s v="Premium Lounge"/>
    <x v="129"/>
    <x v="2"/>
    <x v="2"/>
    <s v="Yes"/>
    <n v="2"/>
    <x v="3"/>
    <x v="17"/>
    <x v="145"/>
    <x v="4"/>
    <x v="145"/>
  </r>
  <r>
    <n v="1147"/>
    <s v="Pooja Malhotra"/>
    <x v="0"/>
    <x v="0"/>
    <x v="3"/>
    <x v="0"/>
    <x v="1"/>
    <x v="1"/>
    <x v="2"/>
    <s v="Highway Branch"/>
    <x v="130"/>
    <x v="4"/>
    <x v="4"/>
    <s v="No"/>
    <n v="5"/>
    <x v="0"/>
    <x v="0"/>
    <x v="146"/>
    <x v="3"/>
    <x v="146"/>
  </r>
  <r>
    <n v="1148"/>
    <s v="Kavita Shah"/>
    <x v="1"/>
    <x v="1"/>
    <x v="3"/>
    <x v="1"/>
    <x v="9"/>
    <x v="6"/>
    <x v="0"/>
    <s v="Highway Branch"/>
    <x v="101"/>
    <x v="1"/>
    <x v="2"/>
    <s v="No"/>
    <n v="2"/>
    <x v="3"/>
    <x v="16"/>
    <x v="147"/>
    <x v="3"/>
    <x v="147"/>
  </r>
  <r>
    <n v="1149"/>
    <s v="Vikas Joshi"/>
    <x v="1"/>
    <x v="27"/>
    <x v="6"/>
    <x v="0"/>
    <x v="0"/>
    <x v="0"/>
    <x v="4"/>
    <s v="Premium Lounge"/>
    <x v="131"/>
    <x v="3"/>
    <x v="2"/>
    <s v="No"/>
    <n v="4"/>
    <x v="0"/>
    <x v="18"/>
    <x v="148"/>
    <x v="6"/>
    <x v="148"/>
  </r>
  <r>
    <n v="1150"/>
    <s v="Priya Shah"/>
    <x v="0"/>
    <x v="8"/>
    <x v="9"/>
    <x v="1"/>
    <x v="0"/>
    <x v="0"/>
    <x v="4"/>
    <s v="Central Showroom"/>
    <x v="132"/>
    <x v="4"/>
    <x v="1"/>
    <s v="Yes"/>
    <n v="2"/>
    <x v="3"/>
    <x v="14"/>
    <x v="149"/>
    <x v="9"/>
    <x v="149"/>
  </r>
  <r>
    <n v="1151"/>
    <s v="Riya Kapoor"/>
    <x v="0"/>
    <x v="14"/>
    <x v="9"/>
    <x v="0"/>
    <x v="1"/>
    <x v="1"/>
    <x v="3"/>
    <s v="Central Showroom"/>
    <x v="133"/>
    <x v="1"/>
    <x v="0"/>
    <s v="No"/>
    <n v="5"/>
    <x v="0"/>
    <x v="13"/>
    <x v="150"/>
    <x v="9"/>
    <x v="150"/>
  </r>
  <r>
    <n v="1152"/>
    <s v="Riya Kapoor"/>
    <x v="1"/>
    <x v="25"/>
    <x v="9"/>
    <x v="0"/>
    <x v="3"/>
    <x v="2"/>
    <x v="4"/>
    <s v="Highway Branch"/>
    <x v="17"/>
    <x v="4"/>
    <x v="3"/>
    <s v="Yes"/>
    <n v="4"/>
    <x v="2"/>
    <x v="20"/>
    <x v="151"/>
    <x v="9"/>
    <x v="151"/>
  </r>
  <r>
    <n v="1153"/>
    <s v="Riya Kapoor"/>
    <x v="0"/>
    <x v="13"/>
    <x v="4"/>
    <x v="1"/>
    <x v="8"/>
    <x v="6"/>
    <x v="4"/>
    <s v="City Mall Branch"/>
    <x v="134"/>
    <x v="3"/>
    <x v="3"/>
    <s v="Yes"/>
    <n v="4"/>
    <x v="3"/>
    <x v="19"/>
    <x v="152"/>
    <x v="4"/>
    <x v="152"/>
  </r>
  <r>
    <n v="1154"/>
    <s v="Rohit Kumar"/>
    <x v="0"/>
    <x v="5"/>
    <x v="7"/>
    <x v="1"/>
    <x v="8"/>
    <x v="6"/>
    <x v="0"/>
    <s v="City Mall Branch"/>
    <x v="135"/>
    <x v="4"/>
    <x v="2"/>
    <s v="Yes"/>
    <n v="4"/>
    <x v="3"/>
    <x v="12"/>
    <x v="153"/>
    <x v="7"/>
    <x v="153"/>
  </r>
  <r>
    <n v="1155"/>
    <s v="Priya Shah"/>
    <x v="1"/>
    <x v="10"/>
    <x v="2"/>
    <x v="0"/>
    <x v="5"/>
    <x v="4"/>
    <x v="3"/>
    <s v="Central Showroom"/>
    <x v="136"/>
    <x v="1"/>
    <x v="4"/>
    <s v="Yes"/>
    <n v="2"/>
    <x v="3"/>
    <x v="15"/>
    <x v="154"/>
    <x v="2"/>
    <x v="154"/>
  </r>
  <r>
    <n v="1156"/>
    <s v="Mohit Gupta"/>
    <x v="1"/>
    <x v="1"/>
    <x v="8"/>
    <x v="0"/>
    <x v="0"/>
    <x v="0"/>
    <x v="2"/>
    <s v="Premium Lounge"/>
    <x v="137"/>
    <x v="4"/>
    <x v="3"/>
    <s v="No"/>
    <n v="2"/>
    <x v="3"/>
    <x v="16"/>
    <x v="155"/>
    <x v="8"/>
    <x v="155"/>
  </r>
  <r>
    <n v="1157"/>
    <s v="Rahul Sharma"/>
    <x v="1"/>
    <x v="3"/>
    <x v="9"/>
    <x v="1"/>
    <x v="3"/>
    <x v="2"/>
    <x v="0"/>
    <s v="Highway Branch"/>
    <x v="138"/>
    <x v="0"/>
    <x v="2"/>
    <s v="No"/>
    <n v="4"/>
    <x v="3"/>
    <x v="5"/>
    <x v="156"/>
    <x v="9"/>
    <x v="156"/>
  </r>
  <r>
    <n v="1158"/>
    <s v="Harsh Patel"/>
    <x v="0"/>
    <x v="21"/>
    <x v="3"/>
    <x v="1"/>
    <x v="5"/>
    <x v="4"/>
    <x v="4"/>
    <s v="City Mall Branch"/>
    <x v="139"/>
    <x v="1"/>
    <x v="4"/>
    <s v="No"/>
    <n v="2"/>
    <x v="1"/>
    <x v="4"/>
    <x v="157"/>
    <x v="3"/>
    <x v="157"/>
  </r>
  <r>
    <n v="1159"/>
    <s v="Priya Shah"/>
    <x v="0"/>
    <x v="16"/>
    <x v="4"/>
    <x v="0"/>
    <x v="4"/>
    <x v="3"/>
    <x v="3"/>
    <s v="Premium Lounge"/>
    <x v="20"/>
    <x v="0"/>
    <x v="1"/>
    <s v="Yes"/>
    <n v="5"/>
    <x v="1"/>
    <x v="12"/>
    <x v="158"/>
    <x v="4"/>
    <x v="158"/>
  </r>
  <r>
    <n v="1160"/>
    <s v="Pooja Malhotra"/>
    <x v="1"/>
    <x v="17"/>
    <x v="5"/>
    <x v="1"/>
    <x v="5"/>
    <x v="4"/>
    <x v="0"/>
    <s v="Central Showroom"/>
    <x v="140"/>
    <x v="4"/>
    <x v="3"/>
    <s v="Yes"/>
    <n v="3"/>
    <x v="1"/>
    <x v="20"/>
    <x v="159"/>
    <x v="5"/>
    <x v="159"/>
  </r>
  <r>
    <n v="1161"/>
    <s v="Kavita Shah"/>
    <x v="0"/>
    <x v="2"/>
    <x v="2"/>
    <x v="3"/>
    <x v="1"/>
    <x v="1"/>
    <x v="4"/>
    <s v="Central Showroom"/>
    <x v="141"/>
    <x v="3"/>
    <x v="4"/>
    <s v="Yes"/>
    <n v="2"/>
    <x v="3"/>
    <x v="17"/>
    <x v="160"/>
    <x v="2"/>
    <x v="160"/>
  </r>
  <r>
    <n v="1162"/>
    <s v="Suresh Nair"/>
    <x v="0"/>
    <x v="16"/>
    <x v="2"/>
    <x v="1"/>
    <x v="8"/>
    <x v="6"/>
    <x v="1"/>
    <s v="Central Showroom"/>
    <x v="142"/>
    <x v="3"/>
    <x v="2"/>
    <s v="No"/>
    <n v="3"/>
    <x v="1"/>
    <x v="16"/>
    <x v="161"/>
    <x v="2"/>
    <x v="161"/>
  </r>
  <r>
    <n v="1163"/>
    <s v="Rohit Kumar"/>
    <x v="1"/>
    <x v="21"/>
    <x v="9"/>
    <x v="2"/>
    <x v="4"/>
    <x v="3"/>
    <x v="0"/>
    <s v="Premium Lounge"/>
    <x v="143"/>
    <x v="3"/>
    <x v="2"/>
    <s v="No"/>
    <n v="3"/>
    <x v="0"/>
    <x v="10"/>
    <x v="162"/>
    <x v="9"/>
    <x v="162"/>
  </r>
  <r>
    <n v="1164"/>
    <s v="Aman Jain"/>
    <x v="0"/>
    <x v="34"/>
    <x v="5"/>
    <x v="2"/>
    <x v="4"/>
    <x v="3"/>
    <x v="1"/>
    <s v="City Mall Branch"/>
    <x v="32"/>
    <x v="1"/>
    <x v="3"/>
    <s v="Yes"/>
    <n v="5"/>
    <x v="3"/>
    <x v="18"/>
    <x v="163"/>
    <x v="5"/>
    <x v="163"/>
  </r>
  <r>
    <n v="1165"/>
    <s v="Kavita Shah"/>
    <x v="1"/>
    <x v="28"/>
    <x v="5"/>
    <x v="0"/>
    <x v="5"/>
    <x v="4"/>
    <x v="0"/>
    <s v="Highway Branch"/>
    <x v="144"/>
    <x v="2"/>
    <x v="1"/>
    <s v="Yes"/>
    <n v="4"/>
    <x v="1"/>
    <x v="19"/>
    <x v="164"/>
    <x v="5"/>
    <x v="164"/>
  </r>
  <r>
    <n v="1166"/>
    <s v="Kavita Shah"/>
    <x v="0"/>
    <x v="35"/>
    <x v="6"/>
    <x v="3"/>
    <x v="5"/>
    <x v="4"/>
    <x v="1"/>
    <s v="Highway Branch"/>
    <x v="145"/>
    <x v="2"/>
    <x v="3"/>
    <s v="No"/>
    <n v="4"/>
    <x v="3"/>
    <x v="6"/>
    <x v="165"/>
    <x v="6"/>
    <x v="165"/>
  </r>
  <r>
    <n v="1167"/>
    <s v="Sneha Desai"/>
    <x v="0"/>
    <x v="5"/>
    <x v="6"/>
    <x v="0"/>
    <x v="1"/>
    <x v="1"/>
    <x v="3"/>
    <s v="Highway Branch"/>
    <x v="146"/>
    <x v="0"/>
    <x v="1"/>
    <s v="No"/>
    <n v="2"/>
    <x v="3"/>
    <x v="7"/>
    <x v="166"/>
    <x v="6"/>
    <x v="166"/>
  </r>
  <r>
    <n v="1168"/>
    <s v="Aman Jain"/>
    <x v="1"/>
    <x v="29"/>
    <x v="3"/>
    <x v="2"/>
    <x v="9"/>
    <x v="6"/>
    <x v="2"/>
    <s v="Premium Lounge"/>
    <x v="147"/>
    <x v="4"/>
    <x v="3"/>
    <s v="Yes"/>
    <n v="4"/>
    <x v="2"/>
    <x v="17"/>
    <x v="167"/>
    <x v="3"/>
    <x v="167"/>
  </r>
  <r>
    <n v="1169"/>
    <s v="Riya Kapoor"/>
    <x v="0"/>
    <x v="22"/>
    <x v="5"/>
    <x v="3"/>
    <x v="0"/>
    <x v="0"/>
    <x v="1"/>
    <s v="Highway Branch"/>
    <x v="148"/>
    <x v="1"/>
    <x v="1"/>
    <s v="No"/>
    <n v="4"/>
    <x v="3"/>
    <x v="20"/>
    <x v="168"/>
    <x v="5"/>
    <x v="168"/>
  </r>
  <r>
    <n v="1170"/>
    <s v="Ankit Mehta"/>
    <x v="1"/>
    <x v="19"/>
    <x v="3"/>
    <x v="0"/>
    <x v="7"/>
    <x v="0"/>
    <x v="3"/>
    <s v="Central Showroom"/>
    <x v="66"/>
    <x v="4"/>
    <x v="4"/>
    <s v="Yes"/>
    <n v="3"/>
    <x v="0"/>
    <x v="1"/>
    <x v="169"/>
    <x v="3"/>
    <x v="169"/>
  </r>
  <r>
    <n v="1171"/>
    <s v="Harsh Patel"/>
    <x v="0"/>
    <x v="22"/>
    <x v="9"/>
    <x v="2"/>
    <x v="1"/>
    <x v="1"/>
    <x v="2"/>
    <s v="Central Showroom"/>
    <x v="149"/>
    <x v="1"/>
    <x v="0"/>
    <s v="Yes"/>
    <n v="5"/>
    <x v="3"/>
    <x v="7"/>
    <x v="170"/>
    <x v="9"/>
    <x v="170"/>
  </r>
  <r>
    <n v="1172"/>
    <s v="Suresh Nair"/>
    <x v="1"/>
    <x v="4"/>
    <x v="1"/>
    <x v="0"/>
    <x v="1"/>
    <x v="1"/>
    <x v="3"/>
    <s v="Premium Lounge"/>
    <x v="150"/>
    <x v="4"/>
    <x v="0"/>
    <s v="No"/>
    <n v="3"/>
    <x v="3"/>
    <x v="20"/>
    <x v="171"/>
    <x v="1"/>
    <x v="171"/>
  </r>
  <r>
    <n v="1173"/>
    <s v="Aman Jain"/>
    <x v="1"/>
    <x v="5"/>
    <x v="6"/>
    <x v="3"/>
    <x v="5"/>
    <x v="4"/>
    <x v="4"/>
    <s v="Highway Branch"/>
    <x v="151"/>
    <x v="0"/>
    <x v="3"/>
    <s v="Yes"/>
    <n v="5"/>
    <x v="3"/>
    <x v="10"/>
    <x v="172"/>
    <x v="6"/>
    <x v="172"/>
  </r>
  <r>
    <n v="1174"/>
    <s v="Priya Shah"/>
    <x v="1"/>
    <x v="3"/>
    <x v="6"/>
    <x v="3"/>
    <x v="9"/>
    <x v="6"/>
    <x v="3"/>
    <s v="Highway Branch"/>
    <x v="152"/>
    <x v="0"/>
    <x v="2"/>
    <s v="No"/>
    <n v="3"/>
    <x v="0"/>
    <x v="5"/>
    <x v="173"/>
    <x v="6"/>
    <x v="173"/>
  </r>
  <r>
    <n v="1175"/>
    <s v="Suresh Nair"/>
    <x v="0"/>
    <x v="21"/>
    <x v="7"/>
    <x v="1"/>
    <x v="2"/>
    <x v="0"/>
    <x v="4"/>
    <s v="Premium Lounge"/>
    <x v="153"/>
    <x v="2"/>
    <x v="1"/>
    <s v="Yes"/>
    <n v="5"/>
    <x v="2"/>
    <x v="16"/>
    <x v="174"/>
    <x v="7"/>
    <x v="174"/>
  </r>
  <r>
    <n v="1176"/>
    <s v="Rahul Sharma"/>
    <x v="1"/>
    <x v="29"/>
    <x v="4"/>
    <x v="1"/>
    <x v="8"/>
    <x v="6"/>
    <x v="0"/>
    <s v="Premium Lounge"/>
    <x v="154"/>
    <x v="3"/>
    <x v="4"/>
    <s v="No"/>
    <n v="5"/>
    <x v="2"/>
    <x v="0"/>
    <x v="175"/>
    <x v="4"/>
    <x v="175"/>
  </r>
  <r>
    <n v="1177"/>
    <s v="Harsh Patel"/>
    <x v="1"/>
    <x v="18"/>
    <x v="0"/>
    <x v="3"/>
    <x v="3"/>
    <x v="2"/>
    <x v="0"/>
    <s v="Premium Lounge"/>
    <x v="155"/>
    <x v="0"/>
    <x v="2"/>
    <s v="Yes"/>
    <n v="5"/>
    <x v="3"/>
    <x v="15"/>
    <x v="176"/>
    <x v="0"/>
    <x v="176"/>
  </r>
  <r>
    <n v="1178"/>
    <s v="Pooja Malhotra"/>
    <x v="0"/>
    <x v="35"/>
    <x v="0"/>
    <x v="0"/>
    <x v="0"/>
    <x v="0"/>
    <x v="1"/>
    <s v="Highway Branch"/>
    <x v="156"/>
    <x v="0"/>
    <x v="1"/>
    <s v="Yes"/>
    <n v="5"/>
    <x v="1"/>
    <x v="18"/>
    <x v="177"/>
    <x v="0"/>
    <x v="177"/>
  </r>
  <r>
    <n v="1179"/>
    <s v="Nitin Agarwal"/>
    <x v="0"/>
    <x v="21"/>
    <x v="8"/>
    <x v="3"/>
    <x v="0"/>
    <x v="0"/>
    <x v="0"/>
    <s v="Highway Branch"/>
    <x v="157"/>
    <x v="1"/>
    <x v="3"/>
    <s v="No"/>
    <n v="5"/>
    <x v="2"/>
    <x v="8"/>
    <x v="178"/>
    <x v="8"/>
    <x v="178"/>
  </r>
  <r>
    <n v="1180"/>
    <s v="Ankit Mehta"/>
    <x v="1"/>
    <x v="22"/>
    <x v="2"/>
    <x v="0"/>
    <x v="9"/>
    <x v="6"/>
    <x v="0"/>
    <s v="Premium Lounge"/>
    <x v="158"/>
    <x v="0"/>
    <x v="4"/>
    <s v="Yes"/>
    <n v="2"/>
    <x v="3"/>
    <x v="19"/>
    <x v="179"/>
    <x v="2"/>
    <x v="179"/>
  </r>
  <r>
    <n v="1181"/>
    <s v="Pooja Malhotra"/>
    <x v="1"/>
    <x v="34"/>
    <x v="0"/>
    <x v="2"/>
    <x v="2"/>
    <x v="0"/>
    <x v="2"/>
    <s v="Central Showroom"/>
    <x v="159"/>
    <x v="2"/>
    <x v="3"/>
    <s v="Yes"/>
    <n v="4"/>
    <x v="0"/>
    <x v="5"/>
    <x v="180"/>
    <x v="0"/>
    <x v="180"/>
  </r>
  <r>
    <n v="1182"/>
    <s v="Neha Verma"/>
    <x v="0"/>
    <x v="11"/>
    <x v="9"/>
    <x v="3"/>
    <x v="5"/>
    <x v="4"/>
    <x v="0"/>
    <s v="Central Showroom"/>
    <x v="93"/>
    <x v="4"/>
    <x v="4"/>
    <s v="No"/>
    <n v="4"/>
    <x v="2"/>
    <x v="8"/>
    <x v="181"/>
    <x v="9"/>
    <x v="181"/>
  </r>
  <r>
    <n v="1183"/>
    <s v="Sneha Desai"/>
    <x v="0"/>
    <x v="25"/>
    <x v="5"/>
    <x v="3"/>
    <x v="2"/>
    <x v="0"/>
    <x v="0"/>
    <s v="Central Showroom"/>
    <x v="160"/>
    <x v="2"/>
    <x v="0"/>
    <s v="Yes"/>
    <n v="5"/>
    <x v="0"/>
    <x v="10"/>
    <x v="182"/>
    <x v="5"/>
    <x v="182"/>
  </r>
  <r>
    <n v="1184"/>
    <s v="Pooja Malhotra"/>
    <x v="0"/>
    <x v="0"/>
    <x v="7"/>
    <x v="3"/>
    <x v="0"/>
    <x v="0"/>
    <x v="0"/>
    <s v="City Mall Branch"/>
    <x v="55"/>
    <x v="2"/>
    <x v="1"/>
    <s v="No"/>
    <n v="5"/>
    <x v="1"/>
    <x v="1"/>
    <x v="183"/>
    <x v="7"/>
    <x v="183"/>
  </r>
  <r>
    <n v="1185"/>
    <s v="Ankit Mehta"/>
    <x v="0"/>
    <x v="13"/>
    <x v="8"/>
    <x v="2"/>
    <x v="1"/>
    <x v="1"/>
    <x v="2"/>
    <s v="Highway Branch"/>
    <x v="161"/>
    <x v="4"/>
    <x v="2"/>
    <s v="Yes"/>
    <n v="3"/>
    <x v="3"/>
    <x v="9"/>
    <x v="184"/>
    <x v="8"/>
    <x v="184"/>
  </r>
  <r>
    <n v="1186"/>
    <s v="Rahul Sharma"/>
    <x v="1"/>
    <x v="19"/>
    <x v="4"/>
    <x v="0"/>
    <x v="9"/>
    <x v="6"/>
    <x v="1"/>
    <s v="City Mall Branch"/>
    <x v="162"/>
    <x v="3"/>
    <x v="0"/>
    <s v="Yes"/>
    <n v="5"/>
    <x v="2"/>
    <x v="13"/>
    <x v="185"/>
    <x v="4"/>
    <x v="185"/>
  </r>
  <r>
    <n v="1187"/>
    <s v="Ankit Mehta"/>
    <x v="0"/>
    <x v="0"/>
    <x v="9"/>
    <x v="1"/>
    <x v="8"/>
    <x v="6"/>
    <x v="4"/>
    <s v="Premium Lounge"/>
    <x v="163"/>
    <x v="2"/>
    <x v="3"/>
    <s v="No"/>
    <n v="4"/>
    <x v="0"/>
    <x v="16"/>
    <x v="186"/>
    <x v="9"/>
    <x v="186"/>
  </r>
  <r>
    <n v="1188"/>
    <s v="Sneha Desai"/>
    <x v="1"/>
    <x v="12"/>
    <x v="0"/>
    <x v="0"/>
    <x v="3"/>
    <x v="2"/>
    <x v="1"/>
    <s v="Central Showroom"/>
    <x v="164"/>
    <x v="0"/>
    <x v="1"/>
    <s v="No"/>
    <n v="4"/>
    <x v="3"/>
    <x v="1"/>
    <x v="187"/>
    <x v="0"/>
    <x v="187"/>
  </r>
  <r>
    <n v="1189"/>
    <s v="Harsh Patel"/>
    <x v="1"/>
    <x v="31"/>
    <x v="0"/>
    <x v="2"/>
    <x v="6"/>
    <x v="5"/>
    <x v="3"/>
    <s v="Premium Lounge"/>
    <x v="165"/>
    <x v="4"/>
    <x v="1"/>
    <s v="Yes"/>
    <n v="2"/>
    <x v="2"/>
    <x v="19"/>
    <x v="188"/>
    <x v="0"/>
    <x v="188"/>
  </r>
  <r>
    <n v="1190"/>
    <s v="Ankit Mehta"/>
    <x v="0"/>
    <x v="16"/>
    <x v="9"/>
    <x v="0"/>
    <x v="1"/>
    <x v="1"/>
    <x v="2"/>
    <s v="City Mall Branch"/>
    <x v="166"/>
    <x v="1"/>
    <x v="2"/>
    <s v="Yes"/>
    <n v="2"/>
    <x v="1"/>
    <x v="14"/>
    <x v="189"/>
    <x v="9"/>
    <x v="189"/>
  </r>
  <r>
    <n v="1191"/>
    <s v="Aman Jain"/>
    <x v="0"/>
    <x v="24"/>
    <x v="7"/>
    <x v="0"/>
    <x v="0"/>
    <x v="0"/>
    <x v="4"/>
    <s v="Highway Branch"/>
    <x v="167"/>
    <x v="2"/>
    <x v="4"/>
    <s v="Yes"/>
    <n v="2"/>
    <x v="3"/>
    <x v="8"/>
    <x v="190"/>
    <x v="7"/>
    <x v="190"/>
  </r>
  <r>
    <n v="1192"/>
    <s v="Sneha Desai"/>
    <x v="1"/>
    <x v="0"/>
    <x v="1"/>
    <x v="3"/>
    <x v="5"/>
    <x v="4"/>
    <x v="0"/>
    <s v="Highway Branch"/>
    <x v="168"/>
    <x v="4"/>
    <x v="0"/>
    <s v="Yes"/>
    <n v="4"/>
    <x v="0"/>
    <x v="19"/>
    <x v="191"/>
    <x v="1"/>
    <x v="191"/>
  </r>
  <r>
    <n v="1193"/>
    <s v="Neha Verma"/>
    <x v="0"/>
    <x v="31"/>
    <x v="8"/>
    <x v="1"/>
    <x v="3"/>
    <x v="2"/>
    <x v="0"/>
    <s v="City Mall Branch"/>
    <x v="169"/>
    <x v="0"/>
    <x v="1"/>
    <s v="Yes"/>
    <n v="4"/>
    <x v="2"/>
    <x v="8"/>
    <x v="192"/>
    <x v="8"/>
    <x v="192"/>
  </r>
  <r>
    <n v="1194"/>
    <s v="Ankit Mehta"/>
    <x v="0"/>
    <x v="9"/>
    <x v="4"/>
    <x v="1"/>
    <x v="9"/>
    <x v="6"/>
    <x v="2"/>
    <s v="Highway Branch"/>
    <x v="170"/>
    <x v="4"/>
    <x v="2"/>
    <s v="No"/>
    <n v="4"/>
    <x v="2"/>
    <x v="3"/>
    <x v="193"/>
    <x v="4"/>
    <x v="193"/>
  </r>
  <r>
    <n v="1195"/>
    <s v="Nitin Agarwal"/>
    <x v="0"/>
    <x v="30"/>
    <x v="2"/>
    <x v="2"/>
    <x v="2"/>
    <x v="0"/>
    <x v="3"/>
    <s v="Central Showroom"/>
    <x v="171"/>
    <x v="2"/>
    <x v="3"/>
    <s v="Yes"/>
    <n v="4"/>
    <x v="3"/>
    <x v="14"/>
    <x v="194"/>
    <x v="2"/>
    <x v="194"/>
  </r>
  <r>
    <n v="1196"/>
    <s v="Aman Jain"/>
    <x v="0"/>
    <x v="22"/>
    <x v="6"/>
    <x v="1"/>
    <x v="0"/>
    <x v="0"/>
    <x v="4"/>
    <s v="Premium Lounge"/>
    <x v="172"/>
    <x v="4"/>
    <x v="0"/>
    <s v="No"/>
    <n v="3"/>
    <x v="0"/>
    <x v="11"/>
    <x v="195"/>
    <x v="6"/>
    <x v="195"/>
  </r>
  <r>
    <n v="1197"/>
    <s v="Suresh Nair"/>
    <x v="1"/>
    <x v="5"/>
    <x v="1"/>
    <x v="3"/>
    <x v="9"/>
    <x v="6"/>
    <x v="2"/>
    <s v="City Mall Branch"/>
    <x v="173"/>
    <x v="2"/>
    <x v="1"/>
    <s v="No"/>
    <n v="5"/>
    <x v="2"/>
    <x v="2"/>
    <x v="196"/>
    <x v="1"/>
    <x v="196"/>
  </r>
  <r>
    <n v="1198"/>
    <s v="Harsh Patel"/>
    <x v="1"/>
    <x v="29"/>
    <x v="7"/>
    <x v="3"/>
    <x v="4"/>
    <x v="3"/>
    <x v="0"/>
    <s v="Premium Lounge"/>
    <x v="174"/>
    <x v="3"/>
    <x v="1"/>
    <s v="No"/>
    <n v="5"/>
    <x v="1"/>
    <x v="15"/>
    <x v="197"/>
    <x v="7"/>
    <x v="197"/>
  </r>
  <r>
    <n v="1199"/>
    <s v="Rahul Sharma"/>
    <x v="1"/>
    <x v="26"/>
    <x v="1"/>
    <x v="1"/>
    <x v="4"/>
    <x v="3"/>
    <x v="2"/>
    <s v="Premium Lounge"/>
    <x v="175"/>
    <x v="4"/>
    <x v="4"/>
    <s v="Yes"/>
    <n v="2"/>
    <x v="2"/>
    <x v="12"/>
    <x v="198"/>
    <x v="1"/>
    <x v="198"/>
  </r>
  <r>
    <n v="1200"/>
    <s v="Harsh Patel"/>
    <x v="0"/>
    <x v="19"/>
    <x v="4"/>
    <x v="0"/>
    <x v="6"/>
    <x v="5"/>
    <x v="2"/>
    <s v="Central Showroom"/>
    <x v="176"/>
    <x v="1"/>
    <x v="1"/>
    <s v="No"/>
    <n v="4"/>
    <x v="3"/>
    <x v="10"/>
    <x v="199"/>
    <x v="4"/>
    <x v="199"/>
  </r>
  <r>
    <n v="1201"/>
    <s v="Vikas Joshi"/>
    <x v="0"/>
    <x v="35"/>
    <x v="8"/>
    <x v="1"/>
    <x v="5"/>
    <x v="4"/>
    <x v="2"/>
    <s v="City Mall Branch"/>
    <x v="177"/>
    <x v="3"/>
    <x v="4"/>
    <s v="No"/>
    <n v="2"/>
    <x v="0"/>
    <x v="11"/>
    <x v="200"/>
    <x v="8"/>
    <x v="200"/>
  </r>
  <r>
    <n v="1202"/>
    <s v="Kavita Shah"/>
    <x v="0"/>
    <x v="12"/>
    <x v="3"/>
    <x v="0"/>
    <x v="1"/>
    <x v="1"/>
    <x v="4"/>
    <s v="City Mall Branch"/>
    <x v="178"/>
    <x v="1"/>
    <x v="4"/>
    <s v="No"/>
    <n v="4"/>
    <x v="1"/>
    <x v="6"/>
    <x v="201"/>
    <x v="3"/>
    <x v="201"/>
  </r>
  <r>
    <n v="1203"/>
    <s v="Priya Shah"/>
    <x v="0"/>
    <x v="12"/>
    <x v="3"/>
    <x v="3"/>
    <x v="8"/>
    <x v="6"/>
    <x v="4"/>
    <s v="City Mall Branch"/>
    <x v="179"/>
    <x v="4"/>
    <x v="1"/>
    <s v="Yes"/>
    <n v="5"/>
    <x v="0"/>
    <x v="17"/>
    <x v="202"/>
    <x v="3"/>
    <x v="202"/>
  </r>
  <r>
    <n v="1204"/>
    <s v="Nitin Agarwal"/>
    <x v="0"/>
    <x v="22"/>
    <x v="6"/>
    <x v="0"/>
    <x v="6"/>
    <x v="5"/>
    <x v="2"/>
    <s v="Premium Lounge"/>
    <x v="180"/>
    <x v="1"/>
    <x v="0"/>
    <s v="Yes"/>
    <n v="4"/>
    <x v="1"/>
    <x v="17"/>
    <x v="203"/>
    <x v="6"/>
    <x v="203"/>
  </r>
  <r>
    <n v="1205"/>
    <s v="Aman Jain"/>
    <x v="1"/>
    <x v="9"/>
    <x v="0"/>
    <x v="3"/>
    <x v="9"/>
    <x v="6"/>
    <x v="4"/>
    <s v="Central Showroom"/>
    <x v="181"/>
    <x v="4"/>
    <x v="0"/>
    <s v="Yes"/>
    <n v="5"/>
    <x v="2"/>
    <x v="14"/>
    <x v="204"/>
    <x v="0"/>
    <x v="204"/>
  </r>
  <r>
    <n v="1206"/>
    <s v="Kavita Shah"/>
    <x v="1"/>
    <x v="10"/>
    <x v="5"/>
    <x v="0"/>
    <x v="9"/>
    <x v="6"/>
    <x v="2"/>
    <s v="Central Showroom"/>
    <x v="182"/>
    <x v="2"/>
    <x v="0"/>
    <s v="No"/>
    <n v="3"/>
    <x v="3"/>
    <x v="4"/>
    <x v="205"/>
    <x v="5"/>
    <x v="205"/>
  </r>
  <r>
    <n v="1207"/>
    <s v="Nitin Agarwal"/>
    <x v="1"/>
    <x v="23"/>
    <x v="6"/>
    <x v="1"/>
    <x v="5"/>
    <x v="4"/>
    <x v="0"/>
    <s v="Premium Lounge"/>
    <x v="183"/>
    <x v="4"/>
    <x v="2"/>
    <s v="No"/>
    <n v="2"/>
    <x v="2"/>
    <x v="4"/>
    <x v="206"/>
    <x v="6"/>
    <x v="206"/>
  </r>
  <r>
    <n v="1208"/>
    <s v="Harsh Patel"/>
    <x v="1"/>
    <x v="15"/>
    <x v="6"/>
    <x v="0"/>
    <x v="5"/>
    <x v="4"/>
    <x v="0"/>
    <s v="Central Showroom"/>
    <x v="184"/>
    <x v="1"/>
    <x v="4"/>
    <s v="Yes"/>
    <n v="3"/>
    <x v="0"/>
    <x v="19"/>
    <x v="207"/>
    <x v="6"/>
    <x v="207"/>
  </r>
  <r>
    <n v="1209"/>
    <s v="Rahul Sharma"/>
    <x v="1"/>
    <x v="10"/>
    <x v="8"/>
    <x v="3"/>
    <x v="3"/>
    <x v="2"/>
    <x v="3"/>
    <s v="Highway Branch"/>
    <x v="185"/>
    <x v="1"/>
    <x v="0"/>
    <s v="No"/>
    <n v="4"/>
    <x v="0"/>
    <x v="3"/>
    <x v="208"/>
    <x v="8"/>
    <x v="208"/>
  </r>
  <r>
    <n v="1210"/>
    <s v="Sneha Desai"/>
    <x v="0"/>
    <x v="35"/>
    <x v="2"/>
    <x v="1"/>
    <x v="7"/>
    <x v="0"/>
    <x v="3"/>
    <s v="City Mall Branch"/>
    <x v="186"/>
    <x v="0"/>
    <x v="1"/>
    <s v="No"/>
    <n v="5"/>
    <x v="2"/>
    <x v="13"/>
    <x v="209"/>
    <x v="2"/>
    <x v="209"/>
  </r>
  <r>
    <n v="1211"/>
    <s v="Neha Verma"/>
    <x v="0"/>
    <x v="27"/>
    <x v="1"/>
    <x v="2"/>
    <x v="7"/>
    <x v="0"/>
    <x v="3"/>
    <s v="Central Showroom"/>
    <x v="128"/>
    <x v="1"/>
    <x v="3"/>
    <s v="Yes"/>
    <n v="5"/>
    <x v="1"/>
    <x v="8"/>
    <x v="210"/>
    <x v="1"/>
    <x v="210"/>
  </r>
  <r>
    <n v="1212"/>
    <s v="Harsh Patel"/>
    <x v="1"/>
    <x v="4"/>
    <x v="2"/>
    <x v="1"/>
    <x v="0"/>
    <x v="0"/>
    <x v="4"/>
    <s v="Central Showroom"/>
    <x v="81"/>
    <x v="3"/>
    <x v="0"/>
    <s v="No"/>
    <n v="3"/>
    <x v="2"/>
    <x v="14"/>
    <x v="211"/>
    <x v="2"/>
    <x v="211"/>
  </r>
  <r>
    <n v="1213"/>
    <s v="Aman Jain"/>
    <x v="0"/>
    <x v="7"/>
    <x v="8"/>
    <x v="0"/>
    <x v="5"/>
    <x v="4"/>
    <x v="0"/>
    <s v="City Mall Branch"/>
    <x v="187"/>
    <x v="1"/>
    <x v="2"/>
    <s v="No"/>
    <n v="4"/>
    <x v="1"/>
    <x v="3"/>
    <x v="212"/>
    <x v="8"/>
    <x v="212"/>
  </r>
  <r>
    <n v="1214"/>
    <s v="Rohit Kumar"/>
    <x v="1"/>
    <x v="6"/>
    <x v="0"/>
    <x v="3"/>
    <x v="0"/>
    <x v="0"/>
    <x v="2"/>
    <s v="Central Showroom"/>
    <x v="188"/>
    <x v="1"/>
    <x v="2"/>
    <s v="Yes"/>
    <n v="5"/>
    <x v="3"/>
    <x v="14"/>
    <x v="213"/>
    <x v="0"/>
    <x v="213"/>
  </r>
  <r>
    <n v="1215"/>
    <s v="Pooja Malhotra"/>
    <x v="0"/>
    <x v="6"/>
    <x v="1"/>
    <x v="1"/>
    <x v="5"/>
    <x v="4"/>
    <x v="1"/>
    <s v="Premium Lounge"/>
    <x v="189"/>
    <x v="2"/>
    <x v="4"/>
    <s v="Yes"/>
    <n v="5"/>
    <x v="3"/>
    <x v="16"/>
    <x v="214"/>
    <x v="1"/>
    <x v="214"/>
  </r>
  <r>
    <n v="1216"/>
    <s v="Aman Jain"/>
    <x v="1"/>
    <x v="17"/>
    <x v="3"/>
    <x v="0"/>
    <x v="7"/>
    <x v="0"/>
    <x v="2"/>
    <s v="City Mall Branch"/>
    <x v="190"/>
    <x v="0"/>
    <x v="1"/>
    <s v="Yes"/>
    <n v="2"/>
    <x v="3"/>
    <x v="3"/>
    <x v="215"/>
    <x v="3"/>
    <x v="215"/>
  </r>
  <r>
    <n v="1217"/>
    <s v="Kavita Shah"/>
    <x v="0"/>
    <x v="11"/>
    <x v="6"/>
    <x v="1"/>
    <x v="0"/>
    <x v="0"/>
    <x v="1"/>
    <s v="Highway Branch"/>
    <x v="54"/>
    <x v="0"/>
    <x v="1"/>
    <s v="No"/>
    <n v="5"/>
    <x v="2"/>
    <x v="7"/>
    <x v="216"/>
    <x v="6"/>
    <x v="216"/>
  </r>
  <r>
    <n v="1218"/>
    <s v="Vikas Joshi"/>
    <x v="0"/>
    <x v="14"/>
    <x v="2"/>
    <x v="1"/>
    <x v="4"/>
    <x v="3"/>
    <x v="3"/>
    <s v="Central Showroom"/>
    <x v="191"/>
    <x v="3"/>
    <x v="0"/>
    <s v="No"/>
    <n v="2"/>
    <x v="2"/>
    <x v="3"/>
    <x v="217"/>
    <x v="2"/>
    <x v="217"/>
  </r>
  <r>
    <n v="1219"/>
    <s v="Nitin Agarwal"/>
    <x v="0"/>
    <x v="5"/>
    <x v="0"/>
    <x v="1"/>
    <x v="5"/>
    <x v="4"/>
    <x v="1"/>
    <s v="City Mall Branch"/>
    <x v="192"/>
    <x v="3"/>
    <x v="2"/>
    <s v="Yes"/>
    <n v="2"/>
    <x v="1"/>
    <x v="12"/>
    <x v="218"/>
    <x v="0"/>
    <x v="218"/>
  </r>
  <r>
    <n v="1220"/>
    <s v="Rohit Kumar"/>
    <x v="1"/>
    <x v="16"/>
    <x v="8"/>
    <x v="3"/>
    <x v="2"/>
    <x v="0"/>
    <x v="4"/>
    <s v="Central Showroom"/>
    <x v="193"/>
    <x v="4"/>
    <x v="0"/>
    <s v="No"/>
    <n v="3"/>
    <x v="0"/>
    <x v="10"/>
    <x v="219"/>
    <x v="8"/>
    <x v="219"/>
  </r>
  <r>
    <n v="1221"/>
    <s v="Sneha Desai"/>
    <x v="0"/>
    <x v="19"/>
    <x v="5"/>
    <x v="1"/>
    <x v="6"/>
    <x v="5"/>
    <x v="3"/>
    <s v="Central Showroom"/>
    <x v="194"/>
    <x v="0"/>
    <x v="4"/>
    <s v="No"/>
    <n v="5"/>
    <x v="3"/>
    <x v="1"/>
    <x v="220"/>
    <x v="5"/>
    <x v="220"/>
  </r>
  <r>
    <n v="1222"/>
    <s v="Suresh Nair"/>
    <x v="0"/>
    <x v="19"/>
    <x v="3"/>
    <x v="2"/>
    <x v="4"/>
    <x v="3"/>
    <x v="4"/>
    <s v="Central Showroom"/>
    <x v="100"/>
    <x v="1"/>
    <x v="3"/>
    <s v="No"/>
    <n v="5"/>
    <x v="0"/>
    <x v="18"/>
    <x v="221"/>
    <x v="3"/>
    <x v="221"/>
  </r>
  <r>
    <n v="1223"/>
    <s v="Mohit Gupta"/>
    <x v="0"/>
    <x v="21"/>
    <x v="5"/>
    <x v="0"/>
    <x v="3"/>
    <x v="2"/>
    <x v="4"/>
    <s v="City Mall Branch"/>
    <x v="56"/>
    <x v="4"/>
    <x v="4"/>
    <s v="No"/>
    <n v="4"/>
    <x v="1"/>
    <x v="0"/>
    <x v="222"/>
    <x v="5"/>
    <x v="222"/>
  </r>
  <r>
    <n v="1224"/>
    <s v="Pooja Malhotra"/>
    <x v="1"/>
    <x v="34"/>
    <x v="0"/>
    <x v="1"/>
    <x v="9"/>
    <x v="6"/>
    <x v="2"/>
    <s v="Premium Lounge"/>
    <x v="195"/>
    <x v="1"/>
    <x v="0"/>
    <s v="Yes"/>
    <n v="2"/>
    <x v="1"/>
    <x v="16"/>
    <x v="223"/>
    <x v="0"/>
    <x v="223"/>
  </r>
  <r>
    <n v="1225"/>
    <s v="Ankit Mehta"/>
    <x v="1"/>
    <x v="13"/>
    <x v="3"/>
    <x v="3"/>
    <x v="6"/>
    <x v="5"/>
    <x v="4"/>
    <s v="Premium Lounge"/>
    <x v="196"/>
    <x v="2"/>
    <x v="1"/>
    <s v="No"/>
    <n v="2"/>
    <x v="0"/>
    <x v="16"/>
    <x v="224"/>
    <x v="3"/>
    <x v="224"/>
  </r>
  <r>
    <n v="1226"/>
    <s v="Harsh Patel"/>
    <x v="1"/>
    <x v="6"/>
    <x v="4"/>
    <x v="1"/>
    <x v="1"/>
    <x v="1"/>
    <x v="0"/>
    <s v="Premium Lounge"/>
    <x v="119"/>
    <x v="2"/>
    <x v="1"/>
    <s v="Yes"/>
    <n v="3"/>
    <x v="1"/>
    <x v="13"/>
    <x v="225"/>
    <x v="4"/>
    <x v="225"/>
  </r>
  <r>
    <n v="1227"/>
    <s v="Sneha Desai"/>
    <x v="1"/>
    <x v="23"/>
    <x v="9"/>
    <x v="3"/>
    <x v="4"/>
    <x v="3"/>
    <x v="3"/>
    <s v="Highway Branch"/>
    <x v="197"/>
    <x v="4"/>
    <x v="3"/>
    <s v="Yes"/>
    <n v="3"/>
    <x v="3"/>
    <x v="5"/>
    <x v="226"/>
    <x v="9"/>
    <x v="226"/>
  </r>
  <r>
    <n v="1228"/>
    <s v="Ankit Mehta"/>
    <x v="0"/>
    <x v="21"/>
    <x v="1"/>
    <x v="1"/>
    <x v="7"/>
    <x v="0"/>
    <x v="2"/>
    <s v="Premium Lounge"/>
    <x v="198"/>
    <x v="4"/>
    <x v="2"/>
    <s v="No"/>
    <n v="4"/>
    <x v="2"/>
    <x v="0"/>
    <x v="227"/>
    <x v="1"/>
    <x v="227"/>
  </r>
  <r>
    <n v="1229"/>
    <s v="Ankit Mehta"/>
    <x v="0"/>
    <x v="27"/>
    <x v="8"/>
    <x v="3"/>
    <x v="5"/>
    <x v="4"/>
    <x v="1"/>
    <s v="City Mall Branch"/>
    <x v="199"/>
    <x v="1"/>
    <x v="4"/>
    <s v="No"/>
    <n v="3"/>
    <x v="0"/>
    <x v="14"/>
    <x v="228"/>
    <x v="8"/>
    <x v="228"/>
  </r>
  <r>
    <n v="1230"/>
    <s v="Sneha Desai"/>
    <x v="0"/>
    <x v="5"/>
    <x v="2"/>
    <x v="1"/>
    <x v="2"/>
    <x v="0"/>
    <x v="2"/>
    <s v="City Mall Branch"/>
    <x v="200"/>
    <x v="0"/>
    <x v="1"/>
    <s v="No"/>
    <n v="4"/>
    <x v="3"/>
    <x v="1"/>
    <x v="229"/>
    <x v="2"/>
    <x v="229"/>
  </r>
  <r>
    <n v="1231"/>
    <s v="Riya Kapoor"/>
    <x v="1"/>
    <x v="18"/>
    <x v="0"/>
    <x v="2"/>
    <x v="3"/>
    <x v="2"/>
    <x v="4"/>
    <s v="Central Showroom"/>
    <x v="125"/>
    <x v="2"/>
    <x v="4"/>
    <s v="No"/>
    <n v="4"/>
    <x v="2"/>
    <x v="13"/>
    <x v="230"/>
    <x v="0"/>
    <x v="230"/>
  </r>
  <r>
    <n v="1232"/>
    <s v="Kavita Shah"/>
    <x v="0"/>
    <x v="14"/>
    <x v="0"/>
    <x v="3"/>
    <x v="5"/>
    <x v="4"/>
    <x v="0"/>
    <s v="Central Showroom"/>
    <x v="201"/>
    <x v="1"/>
    <x v="4"/>
    <s v="No"/>
    <n v="5"/>
    <x v="0"/>
    <x v="19"/>
    <x v="231"/>
    <x v="0"/>
    <x v="231"/>
  </r>
  <r>
    <n v="1233"/>
    <s v="Nitin Agarwal"/>
    <x v="0"/>
    <x v="32"/>
    <x v="7"/>
    <x v="2"/>
    <x v="5"/>
    <x v="4"/>
    <x v="3"/>
    <s v="Central Showroom"/>
    <x v="202"/>
    <x v="4"/>
    <x v="3"/>
    <s v="Yes"/>
    <n v="4"/>
    <x v="3"/>
    <x v="14"/>
    <x v="232"/>
    <x v="7"/>
    <x v="232"/>
  </r>
  <r>
    <n v="1234"/>
    <s v="Aman Jain"/>
    <x v="0"/>
    <x v="34"/>
    <x v="6"/>
    <x v="2"/>
    <x v="6"/>
    <x v="5"/>
    <x v="1"/>
    <s v="Central Showroom"/>
    <x v="16"/>
    <x v="4"/>
    <x v="2"/>
    <s v="No"/>
    <n v="5"/>
    <x v="0"/>
    <x v="3"/>
    <x v="233"/>
    <x v="6"/>
    <x v="233"/>
  </r>
  <r>
    <n v="1235"/>
    <s v="Aman Jain"/>
    <x v="0"/>
    <x v="9"/>
    <x v="0"/>
    <x v="3"/>
    <x v="5"/>
    <x v="4"/>
    <x v="1"/>
    <s v="Central Showroom"/>
    <x v="203"/>
    <x v="2"/>
    <x v="1"/>
    <s v="No"/>
    <n v="4"/>
    <x v="0"/>
    <x v="12"/>
    <x v="234"/>
    <x v="0"/>
    <x v="234"/>
  </r>
  <r>
    <n v="1236"/>
    <s v="Kavita Shah"/>
    <x v="0"/>
    <x v="19"/>
    <x v="0"/>
    <x v="2"/>
    <x v="7"/>
    <x v="0"/>
    <x v="3"/>
    <s v="City Mall Branch"/>
    <x v="204"/>
    <x v="2"/>
    <x v="2"/>
    <s v="No"/>
    <n v="2"/>
    <x v="3"/>
    <x v="2"/>
    <x v="235"/>
    <x v="0"/>
    <x v="235"/>
  </r>
  <r>
    <n v="1237"/>
    <s v="Pooja Malhotra"/>
    <x v="1"/>
    <x v="3"/>
    <x v="0"/>
    <x v="0"/>
    <x v="2"/>
    <x v="0"/>
    <x v="2"/>
    <s v="City Mall Branch"/>
    <x v="205"/>
    <x v="1"/>
    <x v="0"/>
    <s v="No"/>
    <n v="3"/>
    <x v="2"/>
    <x v="10"/>
    <x v="236"/>
    <x v="0"/>
    <x v="236"/>
  </r>
  <r>
    <n v="1238"/>
    <s v="Vikas Joshi"/>
    <x v="0"/>
    <x v="35"/>
    <x v="1"/>
    <x v="2"/>
    <x v="0"/>
    <x v="0"/>
    <x v="4"/>
    <s v="Premium Lounge"/>
    <x v="206"/>
    <x v="3"/>
    <x v="3"/>
    <s v="No"/>
    <n v="2"/>
    <x v="0"/>
    <x v="2"/>
    <x v="237"/>
    <x v="1"/>
    <x v="237"/>
  </r>
  <r>
    <n v="1239"/>
    <s v="Aman Jain"/>
    <x v="1"/>
    <x v="19"/>
    <x v="8"/>
    <x v="1"/>
    <x v="9"/>
    <x v="6"/>
    <x v="3"/>
    <s v="Premium Lounge"/>
    <x v="207"/>
    <x v="4"/>
    <x v="2"/>
    <s v="Yes"/>
    <n v="5"/>
    <x v="0"/>
    <x v="3"/>
    <x v="238"/>
    <x v="8"/>
    <x v="238"/>
  </r>
  <r>
    <n v="1240"/>
    <s v="Suresh Nair"/>
    <x v="0"/>
    <x v="17"/>
    <x v="9"/>
    <x v="2"/>
    <x v="2"/>
    <x v="0"/>
    <x v="1"/>
    <s v="Premium Lounge"/>
    <x v="11"/>
    <x v="1"/>
    <x v="2"/>
    <s v="Yes"/>
    <n v="2"/>
    <x v="3"/>
    <x v="9"/>
    <x v="239"/>
    <x v="9"/>
    <x v="239"/>
  </r>
  <r>
    <n v="1241"/>
    <s v="Ankit Mehta"/>
    <x v="0"/>
    <x v="9"/>
    <x v="6"/>
    <x v="2"/>
    <x v="5"/>
    <x v="4"/>
    <x v="0"/>
    <s v="City Mall Branch"/>
    <x v="208"/>
    <x v="3"/>
    <x v="0"/>
    <s v="Yes"/>
    <n v="4"/>
    <x v="2"/>
    <x v="9"/>
    <x v="240"/>
    <x v="6"/>
    <x v="240"/>
  </r>
  <r>
    <n v="1242"/>
    <s v="Nitin Agarwal"/>
    <x v="1"/>
    <x v="34"/>
    <x v="2"/>
    <x v="1"/>
    <x v="0"/>
    <x v="0"/>
    <x v="3"/>
    <s v="Central Showroom"/>
    <x v="209"/>
    <x v="4"/>
    <x v="1"/>
    <s v="Yes"/>
    <n v="2"/>
    <x v="3"/>
    <x v="16"/>
    <x v="241"/>
    <x v="2"/>
    <x v="241"/>
  </r>
  <r>
    <n v="1243"/>
    <s v="Mohit Gupta"/>
    <x v="0"/>
    <x v="27"/>
    <x v="3"/>
    <x v="1"/>
    <x v="3"/>
    <x v="2"/>
    <x v="1"/>
    <s v="City Mall Branch"/>
    <x v="210"/>
    <x v="0"/>
    <x v="3"/>
    <s v="Yes"/>
    <n v="3"/>
    <x v="2"/>
    <x v="13"/>
    <x v="242"/>
    <x v="3"/>
    <x v="242"/>
  </r>
  <r>
    <n v="1244"/>
    <s v="Rahul Sharma"/>
    <x v="0"/>
    <x v="8"/>
    <x v="1"/>
    <x v="3"/>
    <x v="3"/>
    <x v="2"/>
    <x v="1"/>
    <s v="Premium Lounge"/>
    <x v="211"/>
    <x v="1"/>
    <x v="1"/>
    <s v="Yes"/>
    <n v="2"/>
    <x v="0"/>
    <x v="12"/>
    <x v="243"/>
    <x v="1"/>
    <x v="243"/>
  </r>
  <r>
    <n v="1245"/>
    <s v="Neha Verma"/>
    <x v="1"/>
    <x v="20"/>
    <x v="7"/>
    <x v="3"/>
    <x v="6"/>
    <x v="5"/>
    <x v="4"/>
    <s v="Premium Lounge"/>
    <x v="212"/>
    <x v="0"/>
    <x v="4"/>
    <s v="Yes"/>
    <n v="3"/>
    <x v="0"/>
    <x v="10"/>
    <x v="244"/>
    <x v="7"/>
    <x v="244"/>
  </r>
  <r>
    <n v="1246"/>
    <s v="Suresh Nair"/>
    <x v="0"/>
    <x v="7"/>
    <x v="5"/>
    <x v="3"/>
    <x v="6"/>
    <x v="5"/>
    <x v="0"/>
    <s v="Premium Lounge"/>
    <x v="140"/>
    <x v="0"/>
    <x v="0"/>
    <s v="Yes"/>
    <n v="3"/>
    <x v="0"/>
    <x v="10"/>
    <x v="245"/>
    <x v="5"/>
    <x v="245"/>
  </r>
  <r>
    <n v="1247"/>
    <s v="Rohit Kumar"/>
    <x v="1"/>
    <x v="24"/>
    <x v="8"/>
    <x v="2"/>
    <x v="5"/>
    <x v="4"/>
    <x v="2"/>
    <s v="Premium Lounge"/>
    <x v="8"/>
    <x v="0"/>
    <x v="3"/>
    <s v="Yes"/>
    <n v="5"/>
    <x v="0"/>
    <x v="20"/>
    <x v="246"/>
    <x v="8"/>
    <x v="246"/>
  </r>
  <r>
    <n v="1248"/>
    <s v="Mohit Gupta"/>
    <x v="1"/>
    <x v="35"/>
    <x v="1"/>
    <x v="3"/>
    <x v="2"/>
    <x v="0"/>
    <x v="0"/>
    <s v="Highway Branch"/>
    <x v="213"/>
    <x v="0"/>
    <x v="0"/>
    <s v="Yes"/>
    <n v="5"/>
    <x v="2"/>
    <x v="10"/>
    <x v="247"/>
    <x v="1"/>
    <x v="247"/>
  </r>
  <r>
    <n v="1249"/>
    <s v="Kavita Shah"/>
    <x v="0"/>
    <x v="27"/>
    <x v="2"/>
    <x v="2"/>
    <x v="9"/>
    <x v="6"/>
    <x v="1"/>
    <s v="Highway Branch"/>
    <x v="214"/>
    <x v="1"/>
    <x v="1"/>
    <s v="Yes"/>
    <n v="5"/>
    <x v="3"/>
    <x v="6"/>
    <x v="248"/>
    <x v="2"/>
    <x v="248"/>
  </r>
  <r>
    <n v="1250"/>
    <s v="Neha Verma"/>
    <x v="1"/>
    <x v="24"/>
    <x v="7"/>
    <x v="2"/>
    <x v="7"/>
    <x v="0"/>
    <x v="0"/>
    <s v="Highway Branch"/>
    <x v="55"/>
    <x v="0"/>
    <x v="3"/>
    <s v="Yes"/>
    <n v="5"/>
    <x v="2"/>
    <x v="20"/>
    <x v="249"/>
    <x v="7"/>
    <x v="249"/>
  </r>
  <r>
    <n v="1251"/>
    <s v="Vikas Joshi"/>
    <x v="0"/>
    <x v="17"/>
    <x v="7"/>
    <x v="1"/>
    <x v="4"/>
    <x v="3"/>
    <x v="1"/>
    <s v="City Mall Branch"/>
    <x v="215"/>
    <x v="3"/>
    <x v="4"/>
    <s v="Yes"/>
    <n v="4"/>
    <x v="0"/>
    <x v="0"/>
    <x v="250"/>
    <x v="7"/>
    <x v="250"/>
  </r>
  <r>
    <n v="1252"/>
    <s v="Harsh Patel"/>
    <x v="0"/>
    <x v="5"/>
    <x v="7"/>
    <x v="3"/>
    <x v="7"/>
    <x v="0"/>
    <x v="0"/>
    <s v="City Mall Branch"/>
    <x v="216"/>
    <x v="2"/>
    <x v="2"/>
    <s v="No"/>
    <n v="5"/>
    <x v="0"/>
    <x v="14"/>
    <x v="251"/>
    <x v="7"/>
    <x v="251"/>
  </r>
  <r>
    <n v="1253"/>
    <s v="Ankit Mehta"/>
    <x v="0"/>
    <x v="8"/>
    <x v="2"/>
    <x v="3"/>
    <x v="5"/>
    <x v="4"/>
    <x v="1"/>
    <s v="City Mall Branch"/>
    <x v="217"/>
    <x v="3"/>
    <x v="1"/>
    <s v="Yes"/>
    <n v="3"/>
    <x v="0"/>
    <x v="8"/>
    <x v="252"/>
    <x v="2"/>
    <x v="252"/>
  </r>
  <r>
    <n v="1254"/>
    <s v="Mohit Gupta"/>
    <x v="0"/>
    <x v="35"/>
    <x v="6"/>
    <x v="2"/>
    <x v="5"/>
    <x v="4"/>
    <x v="4"/>
    <s v="City Mall Branch"/>
    <x v="218"/>
    <x v="0"/>
    <x v="4"/>
    <s v="Yes"/>
    <n v="3"/>
    <x v="1"/>
    <x v="15"/>
    <x v="253"/>
    <x v="6"/>
    <x v="253"/>
  </r>
  <r>
    <n v="1255"/>
    <s v="Harsh Patel"/>
    <x v="0"/>
    <x v="21"/>
    <x v="6"/>
    <x v="2"/>
    <x v="6"/>
    <x v="5"/>
    <x v="2"/>
    <s v="Central Showroom"/>
    <x v="219"/>
    <x v="0"/>
    <x v="1"/>
    <s v="No"/>
    <n v="3"/>
    <x v="1"/>
    <x v="5"/>
    <x v="254"/>
    <x v="6"/>
    <x v="254"/>
  </r>
  <r>
    <n v="1256"/>
    <s v="Priya Shah"/>
    <x v="0"/>
    <x v="20"/>
    <x v="2"/>
    <x v="1"/>
    <x v="6"/>
    <x v="5"/>
    <x v="4"/>
    <s v="City Mall Branch"/>
    <x v="192"/>
    <x v="4"/>
    <x v="3"/>
    <s v="No"/>
    <n v="2"/>
    <x v="1"/>
    <x v="16"/>
    <x v="255"/>
    <x v="2"/>
    <x v="255"/>
  </r>
  <r>
    <n v="1257"/>
    <s v="Neha Verma"/>
    <x v="1"/>
    <x v="3"/>
    <x v="0"/>
    <x v="1"/>
    <x v="1"/>
    <x v="1"/>
    <x v="3"/>
    <s v="City Mall Branch"/>
    <x v="220"/>
    <x v="0"/>
    <x v="2"/>
    <s v="No"/>
    <n v="2"/>
    <x v="1"/>
    <x v="5"/>
    <x v="256"/>
    <x v="0"/>
    <x v="256"/>
  </r>
  <r>
    <n v="1258"/>
    <s v="Harsh Patel"/>
    <x v="1"/>
    <x v="28"/>
    <x v="5"/>
    <x v="0"/>
    <x v="3"/>
    <x v="2"/>
    <x v="3"/>
    <s v="Premium Lounge"/>
    <x v="221"/>
    <x v="2"/>
    <x v="0"/>
    <s v="No"/>
    <n v="2"/>
    <x v="1"/>
    <x v="1"/>
    <x v="257"/>
    <x v="5"/>
    <x v="257"/>
  </r>
  <r>
    <n v="1259"/>
    <s v="Mohit Gupta"/>
    <x v="1"/>
    <x v="33"/>
    <x v="3"/>
    <x v="1"/>
    <x v="4"/>
    <x v="3"/>
    <x v="2"/>
    <s v="Highway Branch"/>
    <x v="222"/>
    <x v="2"/>
    <x v="3"/>
    <s v="No"/>
    <n v="2"/>
    <x v="2"/>
    <x v="16"/>
    <x v="258"/>
    <x v="3"/>
    <x v="258"/>
  </r>
  <r>
    <n v="1260"/>
    <s v="Rohit Kumar"/>
    <x v="1"/>
    <x v="29"/>
    <x v="3"/>
    <x v="2"/>
    <x v="0"/>
    <x v="0"/>
    <x v="2"/>
    <s v="City Mall Branch"/>
    <x v="223"/>
    <x v="4"/>
    <x v="2"/>
    <s v="Yes"/>
    <n v="4"/>
    <x v="1"/>
    <x v="15"/>
    <x v="259"/>
    <x v="3"/>
    <x v="259"/>
  </r>
  <r>
    <n v="1261"/>
    <s v="Aman Jain"/>
    <x v="0"/>
    <x v="10"/>
    <x v="1"/>
    <x v="3"/>
    <x v="2"/>
    <x v="0"/>
    <x v="3"/>
    <s v="City Mall Branch"/>
    <x v="224"/>
    <x v="2"/>
    <x v="1"/>
    <s v="No"/>
    <n v="5"/>
    <x v="1"/>
    <x v="14"/>
    <x v="260"/>
    <x v="1"/>
    <x v="260"/>
  </r>
  <r>
    <n v="1262"/>
    <s v="Vikas Joshi"/>
    <x v="0"/>
    <x v="18"/>
    <x v="9"/>
    <x v="1"/>
    <x v="9"/>
    <x v="6"/>
    <x v="0"/>
    <s v="Highway Branch"/>
    <x v="225"/>
    <x v="3"/>
    <x v="1"/>
    <s v="No"/>
    <n v="3"/>
    <x v="0"/>
    <x v="15"/>
    <x v="261"/>
    <x v="9"/>
    <x v="261"/>
  </r>
  <r>
    <n v="1263"/>
    <s v="Rohit Kumar"/>
    <x v="1"/>
    <x v="16"/>
    <x v="1"/>
    <x v="3"/>
    <x v="6"/>
    <x v="5"/>
    <x v="1"/>
    <s v="Highway Branch"/>
    <x v="101"/>
    <x v="1"/>
    <x v="2"/>
    <s v="Yes"/>
    <n v="3"/>
    <x v="2"/>
    <x v="7"/>
    <x v="262"/>
    <x v="1"/>
    <x v="262"/>
  </r>
  <r>
    <n v="1264"/>
    <s v="Rahul Sharma"/>
    <x v="1"/>
    <x v="9"/>
    <x v="1"/>
    <x v="0"/>
    <x v="3"/>
    <x v="2"/>
    <x v="4"/>
    <s v="Central Showroom"/>
    <x v="226"/>
    <x v="2"/>
    <x v="4"/>
    <s v="Yes"/>
    <n v="2"/>
    <x v="2"/>
    <x v="18"/>
    <x v="263"/>
    <x v="1"/>
    <x v="263"/>
  </r>
  <r>
    <n v="1265"/>
    <s v="Pooja Malhotra"/>
    <x v="1"/>
    <x v="24"/>
    <x v="0"/>
    <x v="3"/>
    <x v="9"/>
    <x v="6"/>
    <x v="2"/>
    <s v="City Mall Branch"/>
    <x v="227"/>
    <x v="3"/>
    <x v="4"/>
    <s v="Yes"/>
    <n v="5"/>
    <x v="3"/>
    <x v="16"/>
    <x v="264"/>
    <x v="0"/>
    <x v="264"/>
  </r>
  <r>
    <n v="1266"/>
    <s v="Harsh Patel"/>
    <x v="1"/>
    <x v="20"/>
    <x v="2"/>
    <x v="2"/>
    <x v="2"/>
    <x v="0"/>
    <x v="0"/>
    <s v="Premium Lounge"/>
    <x v="117"/>
    <x v="4"/>
    <x v="2"/>
    <s v="Yes"/>
    <n v="2"/>
    <x v="3"/>
    <x v="7"/>
    <x v="265"/>
    <x v="2"/>
    <x v="265"/>
  </r>
  <r>
    <n v="1267"/>
    <s v="Pooja Malhotra"/>
    <x v="0"/>
    <x v="5"/>
    <x v="1"/>
    <x v="1"/>
    <x v="9"/>
    <x v="6"/>
    <x v="0"/>
    <s v="Premium Lounge"/>
    <x v="228"/>
    <x v="3"/>
    <x v="0"/>
    <s v="No"/>
    <n v="4"/>
    <x v="3"/>
    <x v="19"/>
    <x v="266"/>
    <x v="1"/>
    <x v="266"/>
  </r>
  <r>
    <n v="1268"/>
    <s v="Nitin Agarwal"/>
    <x v="1"/>
    <x v="34"/>
    <x v="7"/>
    <x v="1"/>
    <x v="0"/>
    <x v="0"/>
    <x v="3"/>
    <s v="Central Showroom"/>
    <x v="229"/>
    <x v="1"/>
    <x v="3"/>
    <s v="No"/>
    <n v="5"/>
    <x v="0"/>
    <x v="19"/>
    <x v="267"/>
    <x v="7"/>
    <x v="267"/>
  </r>
  <r>
    <n v="1269"/>
    <s v="Pooja Malhotra"/>
    <x v="0"/>
    <x v="8"/>
    <x v="5"/>
    <x v="0"/>
    <x v="0"/>
    <x v="0"/>
    <x v="4"/>
    <s v="City Mall Branch"/>
    <x v="230"/>
    <x v="4"/>
    <x v="0"/>
    <s v="Yes"/>
    <n v="4"/>
    <x v="1"/>
    <x v="5"/>
    <x v="268"/>
    <x v="5"/>
    <x v="268"/>
  </r>
  <r>
    <n v="1270"/>
    <s v="Riya Kapoor"/>
    <x v="1"/>
    <x v="0"/>
    <x v="1"/>
    <x v="0"/>
    <x v="4"/>
    <x v="3"/>
    <x v="1"/>
    <s v="Premium Lounge"/>
    <x v="138"/>
    <x v="3"/>
    <x v="1"/>
    <s v="Yes"/>
    <n v="4"/>
    <x v="0"/>
    <x v="7"/>
    <x v="269"/>
    <x v="1"/>
    <x v="269"/>
  </r>
  <r>
    <n v="1271"/>
    <s v="Vikas Joshi"/>
    <x v="0"/>
    <x v="12"/>
    <x v="5"/>
    <x v="3"/>
    <x v="3"/>
    <x v="2"/>
    <x v="0"/>
    <s v="Central Showroom"/>
    <x v="231"/>
    <x v="2"/>
    <x v="3"/>
    <s v="Yes"/>
    <n v="2"/>
    <x v="3"/>
    <x v="12"/>
    <x v="270"/>
    <x v="5"/>
    <x v="270"/>
  </r>
  <r>
    <n v="1272"/>
    <s v="Aman Jain"/>
    <x v="1"/>
    <x v="35"/>
    <x v="5"/>
    <x v="3"/>
    <x v="6"/>
    <x v="5"/>
    <x v="0"/>
    <s v="Premium Lounge"/>
    <x v="232"/>
    <x v="0"/>
    <x v="2"/>
    <s v="Yes"/>
    <n v="5"/>
    <x v="1"/>
    <x v="16"/>
    <x v="271"/>
    <x v="5"/>
    <x v="271"/>
  </r>
  <r>
    <n v="1273"/>
    <s v="Priya Shah"/>
    <x v="0"/>
    <x v="32"/>
    <x v="4"/>
    <x v="1"/>
    <x v="3"/>
    <x v="2"/>
    <x v="3"/>
    <s v="Central Showroom"/>
    <x v="233"/>
    <x v="2"/>
    <x v="2"/>
    <s v="No"/>
    <n v="4"/>
    <x v="2"/>
    <x v="3"/>
    <x v="272"/>
    <x v="4"/>
    <x v="272"/>
  </r>
  <r>
    <n v="1274"/>
    <s v="Mohit Gupta"/>
    <x v="1"/>
    <x v="19"/>
    <x v="2"/>
    <x v="3"/>
    <x v="9"/>
    <x v="6"/>
    <x v="0"/>
    <s v="City Mall Branch"/>
    <x v="234"/>
    <x v="3"/>
    <x v="3"/>
    <s v="No"/>
    <n v="3"/>
    <x v="1"/>
    <x v="7"/>
    <x v="273"/>
    <x v="2"/>
    <x v="273"/>
  </r>
  <r>
    <n v="1275"/>
    <s v="Vikas Joshi"/>
    <x v="0"/>
    <x v="33"/>
    <x v="6"/>
    <x v="1"/>
    <x v="7"/>
    <x v="0"/>
    <x v="0"/>
    <s v="Premium Lounge"/>
    <x v="148"/>
    <x v="2"/>
    <x v="0"/>
    <s v="Yes"/>
    <n v="2"/>
    <x v="2"/>
    <x v="13"/>
    <x v="274"/>
    <x v="6"/>
    <x v="274"/>
  </r>
  <r>
    <n v="1276"/>
    <s v="Suresh Nair"/>
    <x v="1"/>
    <x v="19"/>
    <x v="4"/>
    <x v="0"/>
    <x v="1"/>
    <x v="1"/>
    <x v="4"/>
    <s v="Highway Branch"/>
    <x v="235"/>
    <x v="0"/>
    <x v="4"/>
    <s v="No"/>
    <n v="2"/>
    <x v="2"/>
    <x v="20"/>
    <x v="275"/>
    <x v="4"/>
    <x v="275"/>
  </r>
  <r>
    <n v="1277"/>
    <s v="Suresh Nair"/>
    <x v="1"/>
    <x v="25"/>
    <x v="7"/>
    <x v="1"/>
    <x v="4"/>
    <x v="3"/>
    <x v="4"/>
    <s v="City Mall Branch"/>
    <x v="236"/>
    <x v="0"/>
    <x v="3"/>
    <s v="No"/>
    <n v="5"/>
    <x v="1"/>
    <x v="1"/>
    <x v="276"/>
    <x v="7"/>
    <x v="276"/>
  </r>
  <r>
    <n v="1278"/>
    <s v="Riya Kapoor"/>
    <x v="0"/>
    <x v="9"/>
    <x v="0"/>
    <x v="2"/>
    <x v="9"/>
    <x v="6"/>
    <x v="4"/>
    <s v="Highway Branch"/>
    <x v="237"/>
    <x v="1"/>
    <x v="4"/>
    <s v="Yes"/>
    <n v="2"/>
    <x v="1"/>
    <x v="15"/>
    <x v="277"/>
    <x v="0"/>
    <x v="277"/>
  </r>
  <r>
    <n v="1279"/>
    <s v="Harsh Patel"/>
    <x v="1"/>
    <x v="18"/>
    <x v="7"/>
    <x v="3"/>
    <x v="6"/>
    <x v="5"/>
    <x v="2"/>
    <s v="Highway Branch"/>
    <x v="238"/>
    <x v="3"/>
    <x v="4"/>
    <s v="No"/>
    <n v="3"/>
    <x v="3"/>
    <x v="6"/>
    <x v="278"/>
    <x v="7"/>
    <x v="278"/>
  </r>
  <r>
    <n v="1280"/>
    <s v="Priya Shah"/>
    <x v="0"/>
    <x v="22"/>
    <x v="6"/>
    <x v="3"/>
    <x v="2"/>
    <x v="0"/>
    <x v="0"/>
    <s v="City Mall Branch"/>
    <x v="239"/>
    <x v="4"/>
    <x v="3"/>
    <s v="Yes"/>
    <n v="4"/>
    <x v="0"/>
    <x v="6"/>
    <x v="279"/>
    <x v="6"/>
    <x v="279"/>
  </r>
  <r>
    <n v="1281"/>
    <s v="Harsh Patel"/>
    <x v="1"/>
    <x v="6"/>
    <x v="1"/>
    <x v="0"/>
    <x v="8"/>
    <x v="6"/>
    <x v="3"/>
    <s v="Highway Branch"/>
    <x v="240"/>
    <x v="3"/>
    <x v="3"/>
    <s v="No"/>
    <n v="2"/>
    <x v="3"/>
    <x v="8"/>
    <x v="280"/>
    <x v="1"/>
    <x v="280"/>
  </r>
  <r>
    <n v="1282"/>
    <s v="Mohit Gupta"/>
    <x v="1"/>
    <x v="20"/>
    <x v="2"/>
    <x v="0"/>
    <x v="0"/>
    <x v="0"/>
    <x v="2"/>
    <s v="Premium Lounge"/>
    <x v="57"/>
    <x v="3"/>
    <x v="2"/>
    <s v="No"/>
    <n v="3"/>
    <x v="0"/>
    <x v="9"/>
    <x v="281"/>
    <x v="2"/>
    <x v="281"/>
  </r>
  <r>
    <n v="1283"/>
    <s v="Rahul Sharma"/>
    <x v="0"/>
    <x v="18"/>
    <x v="4"/>
    <x v="2"/>
    <x v="0"/>
    <x v="0"/>
    <x v="1"/>
    <s v="Highway Branch"/>
    <x v="163"/>
    <x v="0"/>
    <x v="2"/>
    <s v="No"/>
    <n v="5"/>
    <x v="0"/>
    <x v="12"/>
    <x v="282"/>
    <x v="4"/>
    <x v="282"/>
  </r>
  <r>
    <n v="1284"/>
    <s v="Rahul Sharma"/>
    <x v="0"/>
    <x v="22"/>
    <x v="0"/>
    <x v="3"/>
    <x v="1"/>
    <x v="1"/>
    <x v="2"/>
    <s v="Central Showroom"/>
    <x v="241"/>
    <x v="4"/>
    <x v="4"/>
    <s v="Yes"/>
    <n v="2"/>
    <x v="1"/>
    <x v="6"/>
    <x v="283"/>
    <x v="0"/>
    <x v="283"/>
  </r>
  <r>
    <n v="1285"/>
    <s v="Priya Shah"/>
    <x v="1"/>
    <x v="13"/>
    <x v="1"/>
    <x v="0"/>
    <x v="5"/>
    <x v="4"/>
    <x v="1"/>
    <s v="Highway Branch"/>
    <x v="242"/>
    <x v="3"/>
    <x v="2"/>
    <s v="Yes"/>
    <n v="5"/>
    <x v="3"/>
    <x v="5"/>
    <x v="284"/>
    <x v="1"/>
    <x v="284"/>
  </r>
  <r>
    <n v="1286"/>
    <s v="Sneha Desai"/>
    <x v="1"/>
    <x v="9"/>
    <x v="3"/>
    <x v="0"/>
    <x v="3"/>
    <x v="2"/>
    <x v="1"/>
    <s v="Highway Branch"/>
    <x v="243"/>
    <x v="1"/>
    <x v="1"/>
    <s v="Yes"/>
    <n v="5"/>
    <x v="2"/>
    <x v="5"/>
    <x v="285"/>
    <x v="3"/>
    <x v="285"/>
  </r>
  <r>
    <n v="1287"/>
    <s v="Nitin Agarwal"/>
    <x v="0"/>
    <x v="22"/>
    <x v="4"/>
    <x v="0"/>
    <x v="7"/>
    <x v="0"/>
    <x v="4"/>
    <s v="Premium Lounge"/>
    <x v="244"/>
    <x v="3"/>
    <x v="1"/>
    <s v="No"/>
    <n v="4"/>
    <x v="3"/>
    <x v="20"/>
    <x v="286"/>
    <x v="4"/>
    <x v="286"/>
  </r>
  <r>
    <n v="1288"/>
    <s v="Ankit Mehta"/>
    <x v="0"/>
    <x v="20"/>
    <x v="2"/>
    <x v="0"/>
    <x v="0"/>
    <x v="0"/>
    <x v="2"/>
    <s v="Central Showroom"/>
    <x v="245"/>
    <x v="1"/>
    <x v="1"/>
    <s v="No"/>
    <n v="5"/>
    <x v="1"/>
    <x v="3"/>
    <x v="287"/>
    <x v="2"/>
    <x v="287"/>
  </r>
  <r>
    <n v="1289"/>
    <s v="Kavita Shah"/>
    <x v="1"/>
    <x v="19"/>
    <x v="8"/>
    <x v="1"/>
    <x v="8"/>
    <x v="6"/>
    <x v="2"/>
    <s v="Premium Lounge"/>
    <x v="246"/>
    <x v="0"/>
    <x v="3"/>
    <s v="No"/>
    <n v="4"/>
    <x v="1"/>
    <x v="15"/>
    <x v="288"/>
    <x v="8"/>
    <x v="288"/>
  </r>
  <r>
    <n v="1290"/>
    <s v="Riya Kapoor"/>
    <x v="1"/>
    <x v="27"/>
    <x v="5"/>
    <x v="2"/>
    <x v="0"/>
    <x v="0"/>
    <x v="2"/>
    <s v="City Mall Branch"/>
    <x v="247"/>
    <x v="1"/>
    <x v="4"/>
    <s v="No"/>
    <n v="4"/>
    <x v="2"/>
    <x v="4"/>
    <x v="289"/>
    <x v="5"/>
    <x v="289"/>
  </r>
  <r>
    <n v="1291"/>
    <s v="Rohit Kumar"/>
    <x v="1"/>
    <x v="14"/>
    <x v="4"/>
    <x v="0"/>
    <x v="1"/>
    <x v="1"/>
    <x v="2"/>
    <s v="Premium Lounge"/>
    <x v="248"/>
    <x v="1"/>
    <x v="3"/>
    <s v="Yes"/>
    <n v="5"/>
    <x v="3"/>
    <x v="16"/>
    <x v="290"/>
    <x v="4"/>
    <x v="290"/>
  </r>
  <r>
    <n v="1292"/>
    <s v="Rahul Sharma"/>
    <x v="0"/>
    <x v="29"/>
    <x v="2"/>
    <x v="0"/>
    <x v="5"/>
    <x v="4"/>
    <x v="0"/>
    <s v="City Mall Branch"/>
    <x v="123"/>
    <x v="3"/>
    <x v="1"/>
    <s v="Yes"/>
    <n v="2"/>
    <x v="1"/>
    <x v="9"/>
    <x v="291"/>
    <x v="2"/>
    <x v="291"/>
  </r>
  <r>
    <n v="1293"/>
    <s v="Harsh Patel"/>
    <x v="1"/>
    <x v="4"/>
    <x v="5"/>
    <x v="3"/>
    <x v="5"/>
    <x v="4"/>
    <x v="1"/>
    <s v="Central Showroom"/>
    <x v="249"/>
    <x v="1"/>
    <x v="1"/>
    <s v="Yes"/>
    <n v="4"/>
    <x v="0"/>
    <x v="14"/>
    <x v="292"/>
    <x v="5"/>
    <x v="292"/>
  </r>
  <r>
    <n v="1294"/>
    <s v="Harsh Patel"/>
    <x v="0"/>
    <x v="35"/>
    <x v="9"/>
    <x v="1"/>
    <x v="9"/>
    <x v="6"/>
    <x v="4"/>
    <s v="City Mall Branch"/>
    <x v="250"/>
    <x v="3"/>
    <x v="4"/>
    <s v="Yes"/>
    <n v="5"/>
    <x v="1"/>
    <x v="10"/>
    <x v="293"/>
    <x v="9"/>
    <x v="293"/>
  </r>
  <r>
    <n v="1295"/>
    <s v="Ankit Mehta"/>
    <x v="1"/>
    <x v="8"/>
    <x v="0"/>
    <x v="1"/>
    <x v="4"/>
    <x v="3"/>
    <x v="0"/>
    <s v="City Mall Branch"/>
    <x v="251"/>
    <x v="2"/>
    <x v="2"/>
    <s v="Yes"/>
    <n v="3"/>
    <x v="1"/>
    <x v="15"/>
    <x v="294"/>
    <x v="0"/>
    <x v="294"/>
  </r>
  <r>
    <n v="1296"/>
    <s v="Rahul Sharma"/>
    <x v="0"/>
    <x v="8"/>
    <x v="0"/>
    <x v="3"/>
    <x v="9"/>
    <x v="6"/>
    <x v="3"/>
    <s v="Central Showroom"/>
    <x v="252"/>
    <x v="4"/>
    <x v="3"/>
    <s v="Yes"/>
    <n v="3"/>
    <x v="2"/>
    <x v="1"/>
    <x v="295"/>
    <x v="0"/>
    <x v="295"/>
  </r>
  <r>
    <n v="1297"/>
    <s v="Neha Verma"/>
    <x v="0"/>
    <x v="12"/>
    <x v="4"/>
    <x v="3"/>
    <x v="1"/>
    <x v="1"/>
    <x v="3"/>
    <s v="Central Showroom"/>
    <x v="253"/>
    <x v="4"/>
    <x v="0"/>
    <s v="Yes"/>
    <n v="2"/>
    <x v="2"/>
    <x v="17"/>
    <x v="296"/>
    <x v="4"/>
    <x v="296"/>
  </r>
  <r>
    <n v="1298"/>
    <s v="Nitin Agarwal"/>
    <x v="1"/>
    <x v="1"/>
    <x v="5"/>
    <x v="1"/>
    <x v="1"/>
    <x v="1"/>
    <x v="2"/>
    <s v="Premium Lounge"/>
    <x v="254"/>
    <x v="3"/>
    <x v="3"/>
    <s v="Yes"/>
    <n v="5"/>
    <x v="1"/>
    <x v="12"/>
    <x v="297"/>
    <x v="5"/>
    <x v="297"/>
  </r>
  <r>
    <n v="1299"/>
    <s v="Neha Verma"/>
    <x v="1"/>
    <x v="2"/>
    <x v="7"/>
    <x v="1"/>
    <x v="7"/>
    <x v="0"/>
    <x v="3"/>
    <s v="City Mall Branch"/>
    <x v="255"/>
    <x v="0"/>
    <x v="2"/>
    <s v="No"/>
    <n v="5"/>
    <x v="2"/>
    <x v="3"/>
    <x v="298"/>
    <x v="7"/>
    <x v="298"/>
  </r>
  <r>
    <n v="1300"/>
    <s v="Sneha Desai"/>
    <x v="0"/>
    <x v="33"/>
    <x v="2"/>
    <x v="3"/>
    <x v="8"/>
    <x v="6"/>
    <x v="1"/>
    <s v="Premium Lounge"/>
    <x v="256"/>
    <x v="1"/>
    <x v="1"/>
    <s v="Yes"/>
    <n v="4"/>
    <x v="2"/>
    <x v="18"/>
    <x v="299"/>
    <x v="2"/>
    <x v="299"/>
  </r>
  <r>
    <n v="1301"/>
    <s v="Neha Verma"/>
    <x v="0"/>
    <x v="22"/>
    <x v="8"/>
    <x v="3"/>
    <x v="0"/>
    <x v="0"/>
    <x v="1"/>
    <s v="City Mall Branch"/>
    <x v="257"/>
    <x v="4"/>
    <x v="1"/>
    <s v="Yes"/>
    <n v="3"/>
    <x v="3"/>
    <x v="2"/>
    <x v="300"/>
    <x v="8"/>
    <x v="300"/>
  </r>
  <r>
    <n v="1302"/>
    <s v="Priya Shah"/>
    <x v="1"/>
    <x v="25"/>
    <x v="6"/>
    <x v="1"/>
    <x v="7"/>
    <x v="0"/>
    <x v="1"/>
    <s v="Central Showroom"/>
    <x v="258"/>
    <x v="3"/>
    <x v="2"/>
    <s v="Yes"/>
    <n v="5"/>
    <x v="2"/>
    <x v="18"/>
    <x v="301"/>
    <x v="6"/>
    <x v="301"/>
  </r>
  <r>
    <n v="1303"/>
    <s v="Rahul Sharma"/>
    <x v="0"/>
    <x v="30"/>
    <x v="6"/>
    <x v="0"/>
    <x v="8"/>
    <x v="6"/>
    <x v="4"/>
    <s v="Highway Branch"/>
    <x v="259"/>
    <x v="0"/>
    <x v="1"/>
    <s v="No"/>
    <n v="2"/>
    <x v="3"/>
    <x v="17"/>
    <x v="302"/>
    <x v="6"/>
    <x v="302"/>
  </r>
  <r>
    <n v="1304"/>
    <s v="Nitin Agarwal"/>
    <x v="1"/>
    <x v="3"/>
    <x v="6"/>
    <x v="1"/>
    <x v="1"/>
    <x v="1"/>
    <x v="4"/>
    <s v="Premium Lounge"/>
    <x v="246"/>
    <x v="3"/>
    <x v="1"/>
    <s v="No"/>
    <n v="2"/>
    <x v="0"/>
    <x v="4"/>
    <x v="303"/>
    <x v="6"/>
    <x v="303"/>
  </r>
  <r>
    <n v="1305"/>
    <s v="Riya Kapoor"/>
    <x v="0"/>
    <x v="19"/>
    <x v="3"/>
    <x v="1"/>
    <x v="8"/>
    <x v="6"/>
    <x v="2"/>
    <s v="Central Showroom"/>
    <x v="246"/>
    <x v="1"/>
    <x v="1"/>
    <s v="No"/>
    <n v="2"/>
    <x v="0"/>
    <x v="16"/>
    <x v="304"/>
    <x v="3"/>
    <x v="304"/>
  </r>
  <r>
    <n v="1306"/>
    <s v="Harsh Patel"/>
    <x v="0"/>
    <x v="7"/>
    <x v="0"/>
    <x v="0"/>
    <x v="8"/>
    <x v="6"/>
    <x v="0"/>
    <s v="Premium Lounge"/>
    <x v="260"/>
    <x v="0"/>
    <x v="3"/>
    <s v="Yes"/>
    <n v="5"/>
    <x v="2"/>
    <x v="15"/>
    <x v="305"/>
    <x v="0"/>
    <x v="305"/>
  </r>
  <r>
    <n v="1307"/>
    <s v="Suresh Nair"/>
    <x v="0"/>
    <x v="22"/>
    <x v="9"/>
    <x v="0"/>
    <x v="3"/>
    <x v="2"/>
    <x v="0"/>
    <s v="Premium Lounge"/>
    <x v="241"/>
    <x v="0"/>
    <x v="3"/>
    <s v="No"/>
    <n v="3"/>
    <x v="3"/>
    <x v="16"/>
    <x v="306"/>
    <x v="9"/>
    <x v="306"/>
  </r>
  <r>
    <n v="1308"/>
    <s v="Ankit Mehta"/>
    <x v="1"/>
    <x v="1"/>
    <x v="2"/>
    <x v="0"/>
    <x v="3"/>
    <x v="2"/>
    <x v="0"/>
    <s v="Central Showroom"/>
    <x v="261"/>
    <x v="3"/>
    <x v="4"/>
    <s v="Yes"/>
    <n v="4"/>
    <x v="3"/>
    <x v="9"/>
    <x v="307"/>
    <x v="2"/>
    <x v="307"/>
  </r>
  <r>
    <n v="1309"/>
    <s v="Aman Jain"/>
    <x v="1"/>
    <x v="6"/>
    <x v="9"/>
    <x v="3"/>
    <x v="6"/>
    <x v="5"/>
    <x v="0"/>
    <s v="City Mall Branch"/>
    <x v="262"/>
    <x v="4"/>
    <x v="1"/>
    <s v="Yes"/>
    <n v="3"/>
    <x v="0"/>
    <x v="1"/>
    <x v="308"/>
    <x v="9"/>
    <x v="308"/>
  </r>
  <r>
    <n v="1310"/>
    <s v="Suresh Nair"/>
    <x v="1"/>
    <x v="23"/>
    <x v="9"/>
    <x v="0"/>
    <x v="4"/>
    <x v="3"/>
    <x v="1"/>
    <s v="Central Showroom"/>
    <x v="114"/>
    <x v="1"/>
    <x v="2"/>
    <s v="No"/>
    <n v="2"/>
    <x v="2"/>
    <x v="10"/>
    <x v="309"/>
    <x v="9"/>
    <x v="309"/>
  </r>
  <r>
    <n v="1311"/>
    <s v="Priya Shah"/>
    <x v="1"/>
    <x v="1"/>
    <x v="7"/>
    <x v="2"/>
    <x v="5"/>
    <x v="4"/>
    <x v="0"/>
    <s v="Highway Branch"/>
    <x v="263"/>
    <x v="4"/>
    <x v="3"/>
    <s v="Yes"/>
    <n v="3"/>
    <x v="3"/>
    <x v="4"/>
    <x v="310"/>
    <x v="7"/>
    <x v="310"/>
  </r>
  <r>
    <n v="1312"/>
    <s v="Rahul Sharma"/>
    <x v="0"/>
    <x v="25"/>
    <x v="8"/>
    <x v="0"/>
    <x v="7"/>
    <x v="0"/>
    <x v="1"/>
    <s v="Highway Branch"/>
    <x v="264"/>
    <x v="1"/>
    <x v="2"/>
    <s v="Yes"/>
    <n v="2"/>
    <x v="2"/>
    <x v="11"/>
    <x v="311"/>
    <x v="8"/>
    <x v="311"/>
  </r>
  <r>
    <n v="1313"/>
    <s v="Sneha Desai"/>
    <x v="1"/>
    <x v="0"/>
    <x v="6"/>
    <x v="1"/>
    <x v="2"/>
    <x v="0"/>
    <x v="4"/>
    <s v="City Mall Branch"/>
    <x v="265"/>
    <x v="1"/>
    <x v="2"/>
    <s v="Yes"/>
    <n v="3"/>
    <x v="2"/>
    <x v="17"/>
    <x v="312"/>
    <x v="6"/>
    <x v="312"/>
  </r>
  <r>
    <n v="1314"/>
    <s v="Harsh Patel"/>
    <x v="0"/>
    <x v="12"/>
    <x v="5"/>
    <x v="0"/>
    <x v="4"/>
    <x v="3"/>
    <x v="1"/>
    <s v="City Mall Branch"/>
    <x v="266"/>
    <x v="4"/>
    <x v="2"/>
    <s v="Yes"/>
    <n v="3"/>
    <x v="0"/>
    <x v="11"/>
    <x v="313"/>
    <x v="5"/>
    <x v="313"/>
  </r>
  <r>
    <n v="1315"/>
    <s v="Aman Jain"/>
    <x v="0"/>
    <x v="22"/>
    <x v="0"/>
    <x v="2"/>
    <x v="9"/>
    <x v="6"/>
    <x v="2"/>
    <s v="Central Showroom"/>
    <x v="267"/>
    <x v="4"/>
    <x v="4"/>
    <s v="Yes"/>
    <n v="4"/>
    <x v="2"/>
    <x v="4"/>
    <x v="314"/>
    <x v="0"/>
    <x v="314"/>
  </r>
  <r>
    <n v="1316"/>
    <s v="Vikas Joshi"/>
    <x v="1"/>
    <x v="30"/>
    <x v="0"/>
    <x v="2"/>
    <x v="7"/>
    <x v="0"/>
    <x v="0"/>
    <s v="City Mall Branch"/>
    <x v="264"/>
    <x v="0"/>
    <x v="1"/>
    <s v="Yes"/>
    <n v="2"/>
    <x v="1"/>
    <x v="17"/>
    <x v="315"/>
    <x v="0"/>
    <x v="315"/>
  </r>
  <r>
    <n v="1317"/>
    <s v="Kavita Shah"/>
    <x v="1"/>
    <x v="9"/>
    <x v="2"/>
    <x v="1"/>
    <x v="7"/>
    <x v="0"/>
    <x v="4"/>
    <s v="Premium Lounge"/>
    <x v="268"/>
    <x v="3"/>
    <x v="1"/>
    <s v="No"/>
    <n v="2"/>
    <x v="3"/>
    <x v="12"/>
    <x v="316"/>
    <x v="2"/>
    <x v="316"/>
  </r>
  <r>
    <n v="1318"/>
    <s v="Nitin Agarwal"/>
    <x v="0"/>
    <x v="13"/>
    <x v="2"/>
    <x v="1"/>
    <x v="2"/>
    <x v="0"/>
    <x v="1"/>
    <s v="City Mall Branch"/>
    <x v="141"/>
    <x v="2"/>
    <x v="3"/>
    <s v="No"/>
    <n v="2"/>
    <x v="3"/>
    <x v="15"/>
    <x v="317"/>
    <x v="2"/>
    <x v="317"/>
  </r>
  <r>
    <n v="1319"/>
    <s v="Nitin Agarwal"/>
    <x v="0"/>
    <x v="3"/>
    <x v="0"/>
    <x v="0"/>
    <x v="4"/>
    <x v="3"/>
    <x v="3"/>
    <s v="Central Showroom"/>
    <x v="269"/>
    <x v="1"/>
    <x v="1"/>
    <s v="No"/>
    <n v="5"/>
    <x v="3"/>
    <x v="13"/>
    <x v="318"/>
    <x v="0"/>
    <x v="318"/>
  </r>
  <r>
    <n v="1320"/>
    <s v="Aman Jain"/>
    <x v="1"/>
    <x v="28"/>
    <x v="7"/>
    <x v="3"/>
    <x v="0"/>
    <x v="0"/>
    <x v="3"/>
    <s v="Highway Branch"/>
    <x v="138"/>
    <x v="1"/>
    <x v="1"/>
    <s v="No"/>
    <n v="4"/>
    <x v="3"/>
    <x v="1"/>
    <x v="319"/>
    <x v="7"/>
    <x v="319"/>
  </r>
  <r>
    <n v="1321"/>
    <s v="Neha Verma"/>
    <x v="1"/>
    <x v="18"/>
    <x v="9"/>
    <x v="1"/>
    <x v="8"/>
    <x v="6"/>
    <x v="0"/>
    <s v="City Mall Branch"/>
    <x v="270"/>
    <x v="0"/>
    <x v="3"/>
    <s v="No"/>
    <n v="4"/>
    <x v="2"/>
    <x v="17"/>
    <x v="320"/>
    <x v="9"/>
    <x v="320"/>
  </r>
  <r>
    <n v="1322"/>
    <s v="Ankit Mehta"/>
    <x v="1"/>
    <x v="32"/>
    <x v="0"/>
    <x v="1"/>
    <x v="3"/>
    <x v="2"/>
    <x v="1"/>
    <s v="Premium Lounge"/>
    <x v="271"/>
    <x v="0"/>
    <x v="3"/>
    <s v="Yes"/>
    <n v="3"/>
    <x v="1"/>
    <x v="5"/>
    <x v="321"/>
    <x v="0"/>
    <x v="321"/>
  </r>
  <r>
    <n v="1323"/>
    <s v="Harsh Patel"/>
    <x v="0"/>
    <x v="35"/>
    <x v="4"/>
    <x v="0"/>
    <x v="3"/>
    <x v="2"/>
    <x v="3"/>
    <s v="Highway Branch"/>
    <x v="272"/>
    <x v="3"/>
    <x v="1"/>
    <s v="Yes"/>
    <n v="3"/>
    <x v="1"/>
    <x v="19"/>
    <x v="322"/>
    <x v="4"/>
    <x v="322"/>
  </r>
  <r>
    <n v="1324"/>
    <s v="Nitin Agarwal"/>
    <x v="0"/>
    <x v="18"/>
    <x v="9"/>
    <x v="3"/>
    <x v="2"/>
    <x v="0"/>
    <x v="0"/>
    <s v="Premium Lounge"/>
    <x v="273"/>
    <x v="1"/>
    <x v="2"/>
    <s v="Yes"/>
    <n v="3"/>
    <x v="3"/>
    <x v="0"/>
    <x v="323"/>
    <x v="9"/>
    <x v="323"/>
  </r>
  <r>
    <n v="1325"/>
    <s v="Mohit Gupta"/>
    <x v="0"/>
    <x v="25"/>
    <x v="9"/>
    <x v="1"/>
    <x v="2"/>
    <x v="0"/>
    <x v="3"/>
    <s v="City Mall Branch"/>
    <x v="274"/>
    <x v="4"/>
    <x v="0"/>
    <s v="No"/>
    <n v="3"/>
    <x v="2"/>
    <x v="16"/>
    <x v="324"/>
    <x v="9"/>
    <x v="324"/>
  </r>
  <r>
    <n v="1326"/>
    <s v="Vikas Joshi"/>
    <x v="1"/>
    <x v="14"/>
    <x v="2"/>
    <x v="0"/>
    <x v="0"/>
    <x v="0"/>
    <x v="0"/>
    <s v="Highway Branch"/>
    <x v="275"/>
    <x v="0"/>
    <x v="0"/>
    <s v="Yes"/>
    <n v="4"/>
    <x v="2"/>
    <x v="0"/>
    <x v="325"/>
    <x v="2"/>
    <x v="325"/>
  </r>
  <r>
    <n v="1327"/>
    <s v="Suresh Nair"/>
    <x v="1"/>
    <x v="5"/>
    <x v="9"/>
    <x v="1"/>
    <x v="8"/>
    <x v="6"/>
    <x v="4"/>
    <s v="Premium Lounge"/>
    <x v="191"/>
    <x v="2"/>
    <x v="1"/>
    <s v="Yes"/>
    <n v="4"/>
    <x v="0"/>
    <x v="13"/>
    <x v="326"/>
    <x v="9"/>
    <x v="326"/>
  </r>
  <r>
    <n v="1328"/>
    <s v="Rohit Kumar"/>
    <x v="0"/>
    <x v="26"/>
    <x v="8"/>
    <x v="2"/>
    <x v="3"/>
    <x v="2"/>
    <x v="4"/>
    <s v="Premium Lounge"/>
    <x v="276"/>
    <x v="4"/>
    <x v="0"/>
    <s v="Yes"/>
    <n v="2"/>
    <x v="2"/>
    <x v="3"/>
    <x v="327"/>
    <x v="8"/>
    <x v="327"/>
  </r>
  <r>
    <n v="1329"/>
    <s v="Kavita Shah"/>
    <x v="1"/>
    <x v="32"/>
    <x v="3"/>
    <x v="1"/>
    <x v="1"/>
    <x v="1"/>
    <x v="2"/>
    <s v="Premium Lounge"/>
    <x v="277"/>
    <x v="3"/>
    <x v="4"/>
    <s v="No"/>
    <n v="4"/>
    <x v="2"/>
    <x v="5"/>
    <x v="328"/>
    <x v="3"/>
    <x v="328"/>
  </r>
  <r>
    <n v="1330"/>
    <s v="Nitin Agarwal"/>
    <x v="0"/>
    <x v="10"/>
    <x v="4"/>
    <x v="0"/>
    <x v="0"/>
    <x v="0"/>
    <x v="2"/>
    <s v="Central Showroom"/>
    <x v="278"/>
    <x v="0"/>
    <x v="1"/>
    <s v="Yes"/>
    <n v="3"/>
    <x v="1"/>
    <x v="19"/>
    <x v="329"/>
    <x v="4"/>
    <x v="329"/>
  </r>
  <r>
    <n v="1331"/>
    <s v="Sneha Desai"/>
    <x v="0"/>
    <x v="31"/>
    <x v="0"/>
    <x v="1"/>
    <x v="6"/>
    <x v="5"/>
    <x v="1"/>
    <s v="Highway Branch"/>
    <x v="279"/>
    <x v="2"/>
    <x v="4"/>
    <s v="No"/>
    <n v="4"/>
    <x v="1"/>
    <x v="10"/>
    <x v="330"/>
    <x v="0"/>
    <x v="330"/>
  </r>
  <r>
    <n v="1332"/>
    <s v="Ankit Mehta"/>
    <x v="1"/>
    <x v="17"/>
    <x v="9"/>
    <x v="3"/>
    <x v="0"/>
    <x v="0"/>
    <x v="2"/>
    <s v="Premium Lounge"/>
    <x v="280"/>
    <x v="3"/>
    <x v="4"/>
    <s v="No"/>
    <n v="5"/>
    <x v="0"/>
    <x v="4"/>
    <x v="331"/>
    <x v="9"/>
    <x v="331"/>
  </r>
  <r>
    <n v="1333"/>
    <s v="Mohit Gupta"/>
    <x v="0"/>
    <x v="4"/>
    <x v="8"/>
    <x v="0"/>
    <x v="6"/>
    <x v="5"/>
    <x v="2"/>
    <s v="Central Showroom"/>
    <x v="281"/>
    <x v="2"/>
    <x v="0"/>
    <s v="No"/>
    <n v="2"/>
    <x v="0"/>
    <x v="5"/>
    <x v="332"/>
    <x v="8"/>
    <x v="332"/>
  </r>
  <r>
    <n v="1334"/>
    <s v="Kavita Shah"/>
    <x v="0"/>
    <x v="9"/>
    <x v="4"/>
    <x v="2"/>
    <x v="7"/>
    <x v="0"/>
    <x v="0"/>
    <s v="Highway Branch"/>
    <x v="61"/>
    <x v="2"/>
    <x v="2"/>
    <s v="No"/>
    <n v="2"/>
    <x v="2"/>
    <x v="9"/>
    <x v="333"/>
    <x v="4"/>
    <x v="333"/>
  </r>
  <r>
    <n v="1335"/>
    <s v="Vikas Joshi"/>
    <x v="1"/>
    <x v="27"/>
    <x v="3"/>
    <x v="0"/>
    <x v="7"/>
    <x v="0"/>
    <x v="2"/>
    <s v="Premium Lounge"/>
    <x v="29"/>
    <x v="1"/>
    <x v="0"/>
    <s v="No"/>
    <n v="2"/>
    <x v="3"/>
    <x v="18"/>
    <x v="334"/>
    <x v="3"/>
    <x v="334"/>
  </r>
  <r>
    <n v="1336"/>
    <s v="Sneha Desai"/>
    <x v="1"/>
    <x v="2"/>
    <x v="3"/>
    <x v="0"/>
    <x v="8"/>
    <x v="6"/>
    <x v="3"/>
    <s v="Highway Branch"/>
    <x v="282"/>
    <x v="1"/>
    <x v="0"/>
    <s v="No"/>
    <n v="4"/>
    <x v="3"/>
    <x v="5"/>
    <x v="335"/>
    <x v="3"/>
    <x v="335"/>
  </r>
  <r>
    <n v="1337"/>
    <s v="Kavita Shah"/>
    <x v="1"/>
    <x v="31"/>
    <x v="4"/>
    <x v="1"/>
    <x v="2"/>
    <x v="0"/>
    <x v="3"/>
    <s v="Highway Branch"/>
    <x v="283"/>
    <x v="2"/>
    <x v="4"/>
    <s v="No"/>
    <n v="3"/>
    <x v="1"/>
    <x v="18"/>
    <x v="336"/>
    <x v="4"/>
    <x v="336"/>
  </r>
  <r>
    <n v="1338"/>
    <s v="Neha Verma"/>
    <x v="0"/>
    <x v="19"/>
    <x v="0"/>
    <x v="0"/>
    <x v="6"/>
    <x v="5"/>
    <x v="3"/>
    <s v="Central Showroom"/>
    <x v="94"/>
    <x v="4"/>
    <x v="1"/>
    <s v="Yes"/>
    <n v="2"/>
    <x v="1"/>
    <x v="5"/>
    <x v="337"/>
    <x v="0"/>
    <x v="337"/>
  </r>
  <r>
    <n v="1339"/>
    <s v="Rohit Kumar"/>
    <x v="0"/>
    <x v="8"/>
    <x v="0"/>
    <x v="3"/>
    <x v="8"/>
    <x v="6"/>
    <x v="4"/>
    <s v="Central Showroom"/>
    <x v="199"/>
    <x v="2"/>
    <x v="0"/>
    <s v="No"/>
    <n v="5"/>
    <x v="0"/>
    <x v="9"/>
    <x v="338"/>
    <x v="0"/>
    <x v="338"/>
  </r>
  <r>
    <n v="1340"/>
    <s v="Priya Shah"/>
    <x v="0"/>
    <x v="34"/>
    <x v="9"/>
    <x v="3"/>
    <x v="4"/>
    <x v="3"/>
    <x v="1"/>
    <s v="City Mall Branch"/>
    <x v="284"/>
    <x v="1"/>
    <x v="2"/>
    <s v="Yes"/>
    <n v="2"/>
    <x v="0"/>
    <x v="15"/>
    <x v="339"/>
    <x v="9"/>
    <x v="339"/>
  </r>
  <r>
    <n v="1341"/>
    <s v="Riya Kapoor"/>
    <x v="1"/>
    <x v="25"/>
    <x v="8"/>
    <x v="1"/>
    <x v="1"/>
    <x v="1"/>
    <x v="1"/>
    <s v="City Mall Branch"/>
    <x v="285"/>
    <x v="0"/>
    <x v="0"/>
    <s v="Yes"/>
    <n v="5"/>
    <x v="3"/>
    <x v="2"/>
    <x v="340"/>
    <x v="8"/>
    <x v="340"/>
  </r>
  <r>
    <n v="1342"/>
    <s v="Aman Jain"/>
    <x v="1"/>
    <x v="12"/>
    <x v="4"/>
    <x v="1"/>
    <x v="8"/>
    <x v="6"/>
    <x v="0"/>
    <s v="Premium Lounge"/>
    <x v="286"/>
    <x v="3"/>
    <x v="3"/>
    <s v="No"/>
    <n v="5"/>
    <x v="1"/>
    <x v="6"/>
    <x v="341"/>
    <x v="4"/>
    <x v="341"/>
  </r>
  <r>
    <n v="1343"/>
    <s v="Aman Jain"/>
    <x v="1"/>
    <x v="0"/>
    <x v="7"/>
    <x v="1"/>
    <x v="8"/>
    <x v="6"/>
    <x v="3"/>
    <s v="Premium Lounge"/>
    <x v="287"/>
    <x v="2"/>
    <x v="3"/>
    <s v="Yes"/>
    <n v="2"/>
    <x v="2"/>
    <x v="19"/>
    <x v="342"/>
    <x v="7"/>
    <x v="342"/>
  </r>
  <r>
    <n v="1344"/>
    <s v="Nitin Agarwal"/>
    <x v="1"/>
    <x v="9"/>
    <x v="5"/>
    <x v="3"/>
    <x v="8"/>
    <x v="6"/>
    <x v="0"/>
    <s v="Premium Lounge"/>
    <x v="288"/>
    <x v="2"/>
    <x v="0"/>
    <s v="Yes"/>
    <n v="4"/>
    <x v="2"/>
    <x v="20"/>
    <x v="343"/>
    <x v="5"/>
    <x v="343"/>
  </r>
  <r>
    <n v="1345"/>
    <s v="Rahul Sharma"/>
    <x v="0"/>
    <x v="18"/>
    <x v="2"/>
    <x v="2"/>
    <x v="4"/>
    <x v="3"/>
    <x v="3"/>
    <s v="Premium Lounge"/>
    <x v="152"/>
    <x v="0"/>
    <x v="4"/>
    <s v="No"/>
    <n v="2"/>
    <x v="3"/>
    <x v="6"/>
    <x v="344"/>
    <x v="2"/>
    <x v="344"/>
  </r>
  <r>
    <n v="1346"/>
    <s v="Neha Verma"/>
    <x v="0"/>
    <x v="26"/>
    <x v="7"/>
    <x v="0"/>
    <x v="0"/>
    <x v="0"/>
    <x v="1"/>
    <s v="Central Showroom"/>
    <x v="289"/>
    <x v="4"/>
    <x v="3"/>
    <s v="No"/>
    <n v="2"/>
    <x v="1"/>
    <x v="16"/>
    <x v="345"/>
    <x v="7"/>
    <x v="345"/>
  </r>
  <r>
    <n v="1347"/>
    <s v="Rahul Sharma"/>
    <x v="1"/>
    <x v="20"/>
    <x v="9"/>
    <x v="3"/>
    <x v="0"/>
    <x v="0"/>
    <x v="2"/>
    <s v="Highway Branch"/>
    <x v="285"/>
    <x v="2"/>
    <x v="2"/>
    <s v="No"/>
    <n v="5"/>
    <x v="2"/>
    <x v="3"/>
    <x v="346"/>
    <x v="9"/>
    <x v="346"/>
  </r>
  <r>
    <n v="1348"/>
    <s v="Pooja Malhotra"/>
    <x v="0"/>
    <x v="6"/>
    <x v="6"/>
    <x v="3"/>
    <x v="0"/>
    <x v="0"/>
    <x v="4"/>
    <s v="Highway Branch"/>
    <x v="290"/>
    <x v="0"/>
    <x v="4"/>
    <s v="No"/>
    <n v="3"/>
    <x v="2"/>
    <x v="4"/>
    <x v="347"/>
    <x v="6"/>
    <x v="347"/>
  </r>
  <r>
    <n v="1349"/>
    <s v="Aman Jain"/>
    <x v="1"/>
    <x v="18"/>
    <x v="0"/>
    <x v="1"/>
    <x v="4"/>
    <x v="3"/>
    <x v="1"/>
    <s v="City Mall Branch"/>
    <x v="154"/>
    <x v="0"/>
    <x v="3"/>
    <s v="No"/>
    <n v="3"/>
    <x v="3"/>
    <x v="14"/>
    <x v="348"/>
    <x v="0"/>
    <x v="348"/>
  </r>
  <r>
    <n v="1350"/>
    <s v="Riya Kapoor"/>
    <x v="1"/>
    <x v="27"/>
    <x v="0"/>
    <x v="0"/>
    <x v="1"/>
    <x v="1"/>
    <x v="2"/>
    <s v="Central Showroom"/>
    <x v="119"/>
    <x v="4"/>
    <x v="2"/>
    <s v="Yes"/>
    <n v="2"/>
    <x v="3"/>
    <x v="0"/>
    <x v="349"/>
    <x v="0"/>
    <x v="349"/>
  </r>
  <r>
    <n v="1351"/>
    <s v="Sneha Desai"/>
    <x v="1"/>
    <x v="30"/>
    <x v="3"/>
    <x v="2"/>
    <x v="8"/>
    <x v="6"/>
    <x v="2"/>
    <s v="City Mall Branch"/>
    <x v="278"/>
    <x v="3"/>
    <x v="0"/>
    <s v="Yes"/>
    <n v="3"/>
    <x v="2"/>
    <x v="10"/>
    <x v="350"/>
    <x v="3"/>
    <x v="350"/>
  </r>
  <r>
    <n v="1352"/>
    <s v="Sneha Desai"/>
    <x v="0"/>
    <x v="13"/>
    <x v="9"/>
    <x v="2"/>
    <x v="4"/>
    <x v="3"/>
    <x v="3"/>
    <s v="Highway Branch"/>
    <x v="291"/>
    <x v="0"/>
    <x v="1"/>
    <s v="No"/>
    <n v="4"/>
    <x v="0"/>
    <x v="14"/>
    <x v="351"/>
    <x v="9"/>
    <x v="351"/>
  </r>
  <r>
    <n v="1353"/>
    <s v="Riya Kapoor"/>
    <x v="0"/>
    <x v="8"/>
    <x v="6"/>
    <x v="2"/>
    <x v="3"/>
    <x v="2"/>
    <x v="0"/>
    <s v="Premium Lounge"/>
    <x v="292"/>
    <x v="0"/>
    <x v="4"/>
    <s v="No"/>
    <n v="5"/>
    <x v="2"/>
    <x v="17"/>
    <x v="352"/>
    <x v="6"/>
    <x v="352"/>
  </r>
  <r>
    <n v="1354"/>
    <s v="Riya Kapoor"/>
    <x v="0"/>
    <x v="32"/>
    <x v="1"/>
    <x v="3"/>
    <x v="6"/>
    <x v="5"/>
    <x v="1"/>
    <s v="City Mall Branch"/>
    <x v="114"/>
    <x v="3"/>
    <x v="0"/>
    <s v="Yes"/>
    <n v="2"/>
    <x v="0"/>
    <x v="0"/>
    <x v="353"/>
    <x v="1"/>
    <x v="353"/>
  </r>
  <r>
    <n v="1355"/>
    <s v="Kavita Shah"/>
    <x v="1"/>
    <x v="22"/>
    <x v="9"/>
    <x v="3"/>
    <x v="5"/>
    <x v="4"/>
    <x v="4"/>
    <s v="Central Showroom"/>
    <x v="259"/>
    <x v="3"/>
    <x v="4"/>
    <s v="Yes"/>
    <n v="3"/>
    <x v="0"/>
    <x v="5"/>
    <x v="354"/>
    <x v="9"/>
    <x v="354"/>
  </r>
  <r>
    <n v="1356"/>
    <s v="Suresh Nair"/>
    <x v="0"/>
    <x v="1"/>
    <x v="6"/>
    <x v="2"/>
    <x v="6"/>
    <x v="5"/>
    <x v="0"/>
    <s v="Premium Lounge"/>
    <x v="293"/>
    <x v="4"/>
    <x v="3"/>
    <s v="No"/>
    <n v="2"/>
    <x v="2"/>
    <x v="13"/>
    <x v="355"/>
    <x v="6"/>
    <x v="355"/>
  </r>
  <r>
    <n v="1357"/>
    <s v="Kavita Shah"/>
    <x v="0"/>
    <x v="23"/>
    <x v="1"/>
    <x v="2"/>
    <x v="3"/>
    <x v="2"/>
    <x v="4"/>
    <s v="Premium Lounge"/>
    <x v="294"/>
    <x v="2"/>
    <x v="1"/>
    <s v="Yes"/>
    <n v="2"/>
    <x v="2"/>
    <x v="4"/>
    <x v="356"/>
    <x v="1"/>
    <x v="356"/>
  </r>
  <r>
    <n v="1358"/>
    <s v="Nitin Agarwal"/>
    <x v="0"/>
    <x v="5"/>
    <x v="6"/>
    <x v="0"/>
    <x v="1"/>
    <x v="1"/>
    <x v="2"/>
    <s v="Central Showroom"/>
    <x v="295"/>
    <x v="0"/>
    <x v="4"/>
    <s v="No"/>
    <n v="2"/>
    <x v="0"/>
    <x v="13"/>
    <x v="357"/>
    <x v="6"/>
    <x v="357"/>
  </r>
  <r>
    <n v="1359"/>
    <s v="Aman Jain"/>
    <x v="1"/>
    <x v="5"/>
    <x v="4"/>
    <x v="0"/>
    <x v="3"/>
    <x v="2"/>
    <x v="1"/>
    <s v="Highway Branch"/>
    <x v="296"/>
    <x v="1"/>
    <x v="3"/>
    <s v="Yes"/>
    <n v="3"/>
    <x v="0"/>
    <x v="16"/>
    <x v="358"/>
    <x v="4"/>
    <x v="358"/>
  </r>
  <r>
    <n v="1360"/>
    <s v="Vikas Joshi"/>
    <x v="0"/>
    <x v="13"/>
    <x v="0"/>
    <x v="1"/>
    <x v="3"/>
    <x v="2"/>
    <x v="2"/>
    <s v="Premium Lounge"/>
    <x v="297"/>
    <x v="3"/>
    <x v="2"/>
    <s v="Yes"/>
    <n v="3"/>
    <x v="2"/>
    <x v="17"/>
    <x v="359"/>
    <x v="0"/>
    <x v="359"/>
  </r>
  <r>
    <n v="1361"/>
    <s v="Priya Shah"/>
    <x v="0"/>
    <x v="33"/>
    <x v="8"/>
    <x v="0"/>
    <x v="2"/>
    <x v="0"/>
    <x v="1"/>
    <s v="City Mall Branch"/>
    <x v="179"/>
    <x v="1"/>
    <x v="1"/>
    <s v="No"/>
    <n v="3"/>
    <x v="3"/>
    <x v="9"/>
    <x v="360"/>
    <x v="8"/>
    <x v="360"/>
  </r>
  <r>
    <n v="1362"/>
    <s v="Vikas Joshi"/>
    <x v="1"/>
    <x v="27"/>
    <x v="6"/>
    <x v="1"/>
    <x v="8"/>
    <x v="6"/>
    <x v="2"/>
    <s v="Highway Branch"/>
    <x v="228"/>
    <x v="4"/>
    <x v="3"/>
    <s v="No"/>
    <n v="3"/>
    <x v="3"/>
    <x v="20"/>
    <x v="361"/>
    <x v="6"/>
    <x v="361"/>
  </r>
  <r>
    <n v="1363"/>
    <s v="Riya Kapoor"/>
    <x v="0"/>
    <x v="26"/>
    <x v="0"/>
    <x v="3"/>
    <x v="1"/>
    <x v="1"/>
    <x v="2"/>
    <s v="City Mall Branch"/>
    <x v="298"/>
    <x v="2"/>
    <x v="3"/>
    <s v="No"/>
    <n v="3"/>
    <x v="1"/>
    <x v="20"/>
    <x v="362"/>
    <x v="0"/>
    <x v="362"/>
  </r>
  <r>
    <n v="1364"/>
    <s v="Suresh Nair"/>
    <x v="1"/>
    <x v="32"/>
    <x v="0"/>
    <x v="1"/>
    <x v="8"/>
    <x v="6"/>
    <x v="1"/>
    <s v="City Mall Branch"/>
    <x v="299"/>
    <x v="4"/>
    <x v="3"/>
    <s v="No"/>
    <n v="4"/>
    <x v="3"/>
    <x v="2"/>
    <x v="363"/>
    <x v="0"/>
    <x v="363"/>
  </r>
  <r>
    <n v="1365"/>
    <s v="Priya Shah"/>
    <x v="0"/>
    <x v="26"/>
    <x v="8"/>
    <x v="3"/>
    <x v="3"/>
    <x v="2"/>
    <x v="1"/>
    <s v="Highway Branch"/>
    <x v="212"/>
    <x v="2"/>
    <x v="2"/>
    <s v="Yes"/>
    <n v="2"/>
    <x v="2"/>
    <x v="15"/>
    <x v="364"/>
    <x v="8"/>
    <x v="364"/>
  </r>
  <r>
    <n v="1366"/>
    <s v="Ankit Mehta"/>
    <x v="0"/>
    <x v="11"/>
    <x v="1"/>
    <x v="1"/>
    <x v="6"/>
    <x v="5"/>
    <x v="0"/>
    <s v="Premium Lounge"/>
    <x v="300"/>
    <x v="1"/>
    <x v="4"/>
    <s v="Yes"/>
    <n v="3"/>
    <x v="3"/>
    <x v="15"/>
    <x v="365"/>
    <x v="1"/>
    <x v="365"/>
  </r>
  <r>
    <n v="1367"/>
    <s v="Vikas Joshi"/>
    <x v="0"/>
    <x v="20"/>
    <x v="9"/>
    <x v="1"/>
    <x v="6"/>
    <x v="5"/>
    <x v="1"/>
    <s v="Central Showroom"/>
    <x v="301"/>
    <x v="4"/>
    <x v="0"/>
    <s v="Yes"/>
    <n v="4"/>
    <x v="2"/>
    <x v="3"/>
    <x v="366"/>
    <x v="9"/>
    <x v="366"/>
  </r>
  <r>
    <n v="1368"/>
    <s v="Riya Kapoor"/>
    <x v="1"/>
    <x v="11"/>
    <x v="3"/>
    <x v="2"/>
    <x v="2"/>
    <x v="0"/>
    <x v="0"/>
    <s v="Premium Lounge"/>
    <x v="302"/>
    <x v="4"/>
    <x v="3"/>
    <s v="Yes"/>
    <n v="4"/>
    <x v="1"/>
    <x v="2"/>
    <x v="367"/>
    <x v="3"/>
    <x v="367"/>
  </r>
  <r>
    <n v="1369"/>
    <s v="Kavita Shah"/>
    <x v="1"/>
    <x v="27"/>
    <x v="6"/>
    <x v="0"/>
    <x v="8"/>
    <x v="6"/>
    <x v="0"/>
    <s v="City Mall Branch"/>
    <x v="302"/>
    <x v="1"/>
    <x v="4"/>
    <s v="No"/>
    <n v="2"/>
    <x v="2"/>
    <x v="9"/>
    <x v="368"/>
    <x v="6"/>
    <x v="368"/>
  </r>
  <r>
    <n v="1370"/>
    <s v="Ankit Mehta"/>
    <x v="0"/>
    <x v="27"/>
    <x v="4"/>
    <x v="2"/>
    <x v="9"/>
    <x v="6"/>
    <x v="1"/>
    <s v="Premium Lounge"/>
    <x v="284"/>
    <x v="2"/>
    <x v="4"/>
    <s v="No"/>
    <n v="2"/>
    <x v="2"/>
    <x v="9"/>
    <x v="369"/>
    <x v="4"/>
    <x v="369"/>
  </r>
  <r>
    <n v="1371"/>
    <s v="Vikas Joshi"/>
    <x v="0"/>
    <x v="25"/>
    <x v="5"/>
    <x v="0"/>
    <x v="6"/>
    <x v="5"/>
    <x v="1"/>
    <s v="Premium Lounge"/>
    <x v="269"/>
    <x v="3"/>
    <x v="2"/>
    <s v="Yes"/>
    <n v="2"/>
    <x v="0"/>
    <x v="7"/>
    <x v="370"/>
    <x v="5"/>
    <x v="370"/>
  </r>
  <r>
    <n v="1372"/>
    <s v="Neha Verma"/>
    <x v="0"/>
    <x v="18"/>
    <x v="8"/>
    <x v="2"/>
    <x v="1"/>
    <x v="1"/>
    <x v="0"/>
    <s v="City Mall Branch"/>
    <x v="303"/>
    <x v="4"/>
    <x v="3"/>
    <s v="No"/>
    <n v="2"/>
    <x v="2"/>
    <x v="4"/>
    <x v="371"/>
    <x v="8"/>
    <x v="371"/>
  </r>
  <r>
    <n v="1373"/>
    <s v="Suresh Nair"/>
    <x v="1"/>
    <x v="22"/>
    <x v="9"/>
    <x v="0"/>
    <x v="7"/>
    <x v="0"/>
    <x v="0"/>
    <s v="City Mall Branch"/>
    <x v="304"/>
    <x v="0"/>
    <x v="1"/>
    <s v="Yes"/>
    <n v="2"/>
    <x v="3"/>
    <x v="14"/>
    <x v="372"/>
    <x v="9"/>
    <x v="372"/>
  </r>
  <r>
    <n v="1374"/>
    <s v="Harsh Patel"/>
    <x v="1"/>
    <x v="14"/>
    <x v="7"/>
    <x v="0"/>
    <x v="7"/>
    <x v="0"/>
    <x v="2"/>
    <s v="City Mall Branch"/>
    <x v="305"/>
    <x v="2"/>
    <x v="0"/>
    <s v="Yes"/>
    <n v="2"/>
    <x v="1"/>
    <x v="15"/>
    <x v="373"/>
    <x v="7"/>
    <x v="373"/>
  </r>
  <r>
    <n v="1375"/>
    <s v="Aman Jain"/>
    <x v="1"/>
    <x v="32"/>
    <x v="9"/>
    <x v="3"/>
    <x v="3"/>
    <x v="2"/>
    <x v="0"/>
    <s v="City Mall Branch"/>
    <x v="306"/>
    <x v="3"/>
    <x v="3"/>
    <s v="No"/>
    <n v="5"/>
    <x v="3"/>
    <x v="17"/>
    <x v="374"/>
    <x v="9"/>
    <x v="374"/>
  </r>
  <r>
    <n v="1376"/>
    <s v="Sneha Desai"/>
    <x v="0"/>
    <x v="30"/>
    <x v="9"/>
    <x v="1"/>
    <x v="1"/>
    <x v="1"/>
    <x v="0"/>
    <s v="Central Showroom"/>
    <x v="197"/>
    <x v="1"/>
    <x v="1"/>
    <s v="No"/>
    <n v="5"/>
    <x v="2"/>
    <x v="20"/>
    <x v="375"/>
    <x v="9"/>
    <x v="375"/>
  </r>
  <r>
    <n v="1377"/>
    <s v="Rahul Sharma"/>
    <x v="0"/>
    <x v="9"/>
    <x v="3"/>
    <x v="2"/>
    <x v="7"/>
    <x v="0"/>
    <x v="1"/>
    <s v="Premium Lounge"/>
    <x v="307"/>
    <x v="1"/>
    <x v="4"/>
    <s v="No"/>
    <n v="5"/>
    <x v="0"/>
    <x v="8"/>
    <x v="376"/>
    <x v="3"/>
    <x v="376"/>
  </r>
  <r>
    <n v="1378"/>
    <s v="Rahul Sharma"/>
    <x v="1"/>
    <x v="13"/>
    <x v="6"/>
    <x v="2"/>
    <x v="0"/>
    <x v="0"/>
    <x v="3"/>
    <s v="Highway Branch"/>
    <x v="116"/>
    <x v="2"/>
    <x v="3"/>
    <s v="Yes"/>
    <n v="5"/>
    <x v="0"/>
    <x v="9"/>
    <x v="377"/>
    <x v="6"/>
    <x v="377"/>
  </r>
  <r>
    <n v="1379"/>
    <s v="Sneha Desai"/>
    <x v="1"/>
    <x v="8"/>
    <x v="0"/>
    <x v="3"/>
    <x v="6"/>
    <x v="5"/>
    <x v="1"/>
    <s v="City Mall Branch"/>
    <x v="308"/>
    <x v="1"/>
    <x v="0"/>
    <s v="No"/>
    <n v="2"/>
    <x v="0"/>
    <x v="15"/>
    <x v="378"/>
    <x v="0"/>
    <x v="378"/>
  </r>
  <r>
    <n v="1380"/>
    <s v="Rohit Kumar"/>
    <x v="0"/>
    <x v="18"/>
    <x v="9"/>
    <x v="3"/>
    <x v="0"/>
    <x v="0"/>
    <x v="4"/>
    <s v="Central Showroom"/>
    <x v="309"/>
    <x v="1"/>
    <x v="1"/>
    <s v="Yes"/>
    <n v="3"/>
    <x v="3"/>
    <x v="0"/>
    <x v="379"/>
    <x v="9"/>
    <x v="379"/>
  </r>
  <r>
    <n v="1381"/>
    <s v="Harsh Patel"/>
    <x v="1"/>
    <x v="3"/>
    <x v="4"/>
    <x v="2"/>
    <x v="8"/>
    <x v="6"/>
    <x v="3"/>
    <s v="Central Showroom"/>
    <x v="170"/>
    <x v="2"/>
    <x v="3"/>
    <s v="No"/>
    <n v="2"/>
    <x v="3"/>
    <x v="11"/>
    <x v="380"/>
    <x v="4"/>
    <x v="380"/>
  </r>
  <r>
    <n v="1382"/>
    <s v="Nitin Agarwal"/>
    <x v="0"/>
    <x v="6"/>
    <x v="0"/>
    <x v="3"/>
    <x v="0"/>
    <x v="0"/>
    <x v="0"/>
    <s v="Premium Lounge"/>
    <x v="254"/>
    <x v="3"/>
    <x v="1"/>
    <s v="Yes"/>
    <n v="2"/>
    <x v="3"/>
    <x v="4"/>
    <x v="381"/>
    <x v="0"/>
    <x v="381"/>
  </r>
  <r>
    <n v="1383"/>
    <s v="Sneha Desai"/>
    <x v="1"/>
    <x v="8"/>
    <x v="6"/>
    <x v="0"/>
    <x v="0"/>
    <x v="0"/>
    <x v="0"/>
    <s v="Premium Lounge"/>
    <x v="258"/>
    <x v="3"/>
    <x v="1"/>
    <s v="Yes"/>
    <n v="2"/>
    <x v="3"/>
    <x v="3"/>
    <x v="382"/>
    <x v="6"/>
    <x v="382"/>
  </r>
  <r>
    <n v="1384"/>
    <s v="Rohit Kumar"/>
    <x v="0"/>
    <x v="9"/>
    <x v="9"/>
    <x v="2"/>
    <x v="8"/>
    <x v="6"/>
    <x v="4"/>
    <s v="City Mall Branch"/>
    <x v="310"/>
    <x v="3"/>
    <x v="1"/>
    <s v="No"/>
    <n v="3"/>
    <x v="3"/>
    <x v="2"/>
    <x v="383"/>
    <x v="9"/>
    <x v="383"/>
  </r>
  <r>
    <n v="1385"/>
    <s v="Suresh Nair"/>
    <x v="1"/>
    <x v="5"/>
    <x v="7"/>
    <x v="1"/>
    <x v="3"/>
    <x v="2"/>
    <x v="0"/>
    <s v="Highway Branch"/>
    <x v="311"/>
    <x v="0"/>
    <x v="1"/>
    <s v="No"/>
    <n v="3"/>
    <x v="2"/>
    <x v="16"/>
    <x v="384"/>
    <x v="7"/>
    <x v="384"/>
  </r>
  <r>
    <n v="1386"/>
    <s v="Aman Jain"/>
    <x v="1"/>
    <x v="18"/>
    <x v="9"/>
    <x v="0"/>
    <x v="0"/>
    <x v="0"/>
    <x v="1"/>
    <s v="Highway Branch"/>
    <x v="272"/>
    <x v="0"/>
    <x v="3"/>
    <s v="No"/>
    <n v="3"/>
    <x v="1"/>
    <x v="13"/>
    <x v="385"/>
    <x v="9"/>
    <x v="385"/>
  </r>
  <r>
    <n v="1387"/>
    <s v="Sneha Desai"/>
    <x v="0"/>
    <x v="27"/>
    <x v="8"/>
    <x v="3"/>
    <x v="8"/>
    <x v="6"/>
    <x v="3"/>
    <s v="Premium Lounge"/>
    <x v="222"/>
    <x v="0"/>
    <x v="2"/>
    <s v="Yes"/>
    <n v="3"/>
    <x v="3"/>
    <x v="12"/>
    <x v="386"/>
    <x v="8"/>
    <x v="386"/>
  </r>
  <r>
    <n v="1388"/>
    <s v="Suresh Nair"/>
    <x v="0"/>
    <x v="2"/>
    <x v="7"/>
    <x v="2"/>
    <x v="4"/>
    <x v="3"/>
    <x v="0"/>
    <s v="Premium Lounge"/>
    <x v="312"/>
    <x v="1"/>
    <x v="3"/>
    <s v="No"/>
    <n v="2"/>
    <x v="2"/>
    <x v="1"/>
    <x v="387"/>
    <x v="7"/>
    <x v="387"/>
  </r>
  <r>
    <n v="1389"/>
    <s v="Vikas Joshi"/>
    <x v="1"/>
    <x v="1"/>
    <x v="4"/>
    <x v="0"/>
    <x v="1"/>
    <x v="1"/>
    <x v="2"/>
    <s v="Central Showroom"/>
    <x v="313"/>
    <x v="2"/>
    <x v="0"/>
    <s v="No"/>
    <n v="3"/>
    <x v="2"/>
    <x v="4"/>
    <x v="388"/>
    <x v="4"/>
    <x v="388"/>
  </r>
  <r>
    <n v="1390"/>
    <s v="Pooja Malhotra"/>
    <x v="1"/>
    <x v="21"/>
    <x v="2"/>
    <x v="2"/>
    <x v="9"/>
    <x v="6"/>
    <x v="2"/>
    <s v="Central Showroom"/>
    <x v="314"/>
    <x v="2"/>
    <x v="1"/>
    <s v="Yes"/>
    <n v="3"/>
    <x v="3"/>
    <x v="20"/>
    <x v="389"/>
    <x v="2"/>
    <x v="389"/>
  </r>
  <r>
    <n v="1391"/>
    <s v="Kavita Shah"/>
    <x v="0"/>
    <x v="31"/>
    <x v="5"/>
    <x v="1"/>
    <x v="2"/>
    <x v="0"/>
    <x v="3"/>
    <s v="Premium Lounge"/>
    <x v="310"/>
    <x v="3"/>
    <x v="0"/>
    <s v="Yes"/>
    <n v="4"/>
    <x v="0"/>
    <x v="9"/>
    <x v="390"/>
    <x v="5"/>
    <x v="390"/>
  </r>
  <r>
    <n v="1392"/>
    <s v="Mohit Gupta"/>
    <x v="0"/>
    <x v="33"/>
    <x v="8"/>
    <x v="1"/>
    <x v="2"/>
    <x v="0"/>
    <x v="4"/>
    <s v="Premium Lounge"/>
    <x v="315"/>
    <x v="4"/>
    <x v="1"/>
    <s v="Yes"/>
    <n v="5"/>
    <x v="1"/>
    <x v="18"/>
    <x v="391"/>
    <x v="8"/>
    <x v="391"/>
  </r>
  <r>
    <n v="1393"/>
    <s v="Nitin Agarwal"/>
    <x v="0"/>
    <x v="3"/>
    <x v="9"/>
    <x v="1"/>
    <x v="4"/>
    <x v="3"/>
    <x v="4"/>
    <s v="Central Showroom"/>
    <x v="21"/>
    <x v="0"/>
    <x v="0"/>
    <s v="Yes"/>
    <n v="2"/>
    <x v="3"/>
    <x v="5"/>
    <x v="392"/>
    <x v="9"/>
    <x v="392"/>
  </r>
  <r>
    <n v="1394"/>
    <s v="Rohit Kumar"/>
    <x v="1"/>
    <x v="8"/>
    <x v="1"/>
    <x v="3"/>
    <x v="6"/>
    <x v="5"/>
    <x v="1"/>
    <s v="Central Showroom"/>
    <x v="316"/>
    <x v="2"/>
    <x v="2"/>
    <s v="No"/>
    <n v="3"/>
    <x v="3"/>
    <x v="18"/>
    <x v="393"/>
    <x v="1"/>
    <x v="393"/>
  </r>
  <r>
    <n v="1395"/>
    <s v="Mohit Gupta"/>
    <x v="0"/>
    <x v="8"/>
    <x v="1"/>
    <x v="2"/>
    <x v="0"/>
    <x v="0"/>
    <x v="4"/>
    <s v="Central Showroom"/>
    <x v="66"/>
    <x v="2"/>
    <x v="2"/>
    <s v="No"/>
    <n v="5"/>
    <x v="1"/>
    <x v="10"/>
    <x v="394"/>
    <x v="1"/>
    <x v="394"/>
  </r>
  <r>
    <n v="1396"/>
    <s v="Ankit Mehta"/>
    <x v="0"/>
    <x v="6"/>
    <x v="3"/>
    <x v="2"/>
    <x v="3"/>
    <x v="2"/>
    <x v="2"/>
    <s v="Highway Branch"/>
    <x v="298"/>
    <x v="1"/>
    <x v="1"/>
    <s v="Yes"/>
    <n v="3"/>
    <x v="1"/>
    <x v="13"/>
    <x v="395"/>
    <x v="3"/>
    <x v="395"/>
  </r>
  <r>
    <n v="1397"/>
    <s v="Vikas Joshi"/>
    <x v="1"/>
    <x v="28"/>
    <x v="7"/>
    <x v="1"/>
    <x v="6"/>
    <x v="5"/>
    <x v="1"/>
    <s v="Central Showroom"/>
    <x v="317"/>
    <x v="1"/>
    <x v="3"/>
    <s v="Yes"/>
    <n v="4"/>
    <x v="2"/>
    <x v="11"/>
    <x v="396"/>
    <x v="7"/>
    <x v="396"/>
  </r>
  <r>
    <n v="1398"/>
    <s v="Harsh Patel"/>
    <x v="1"/>
    <x v="8"/>
    <x v="8"/>
    <x v="1"/>
    <x v="5"/>
    <x v="4"/>
    <x v="3"/>
    <s v="City Mall Branch"/>
    <x v="318"/>
    <x v="3"/>
    <x v="2"/>
    <s v="No"/>
    <n v="2"/>
    <x v="3"/>
    <x v="10"/>
    <x v="397"/>
    <x v="8"/>
    <x v="397"/>
  </r>
  <r>
    <n v="1399"/>
    <s v="Mohit Gupta"/>
    <x v="0"/>
    <x v="10"/>
    <x v="8"/>
    <x v="2"/>
    <x v="1"/>
    <x v="1"/>
    <x v="2"/>
    <s v="Highway Branch"/>
    <x v="319"/>
    <x v="2"/>
    <x v="1"/>
    <s v="No"/>
    <n v="2"/>
    <x v="0"/>
    <x v="17"/>
    <x v="398"/>
    <x v="8"/>
    <x v="398"/>
  </r>
  <r>
    <n v="1400"/>
    <s v="Harsh Patel"/>
    <x v="0"/>
    <x v="13"/>
    <x v="8"/>
    <x v="2"/>
    <x v="2"/>
    <x v="0"/>
    <x v="3"/>
    <s v="Premium Lounge"/>
    <x v="320"/>
    <x v="0"/>
    <x v="3"/>
    <s v="Yes"/>
    <n v="5"/>
    <x v="0"/>
    <x v="14"/>
    <x v="399"/>
    <x v="8"/>
    <x v="399"/>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r>
    <m/>
    <m/>
    <x v="2"/>
    <x v="36"/>
    <x v="10"/>
    <x v="4"/>
    <x v="10"/>
    <x v="7"/>
    <x v="5"/>
    <m/>
    <x v="321"/>
    <x v="5"/>
    <x v="5"/>
    <m/>
    <m/>
    <x v="4"/>
    <x v="21"/>
    <x v="400"/>
    <x v="10"/>
    <x v="400"/>
  </r>
</pivotCacheRecords>
</file>

<file path=xl/pivotCache/pivotCacheRecords2.xml><?xml version="1.0" encoding="utf-8"?>
<pivotCacheRecords xmlns="http://schemas.openxmlformats.org/spreadsheetml/2006/main" xmlns:r="http://schemas.openxmlformats.org/officeDocument/2006/relationships" count="421">
  <r>
    <n v="1001"/>
    <s v="Suresh Nair"/>
    <s v="Male"/>
    <n v="52"/>
    <x v="0"/>
    <x v="0"/>
    <x v="0"/>
    <x v="0"/>
    <s v="Kunal Mehta"/>
    <s v="City Mall Branch"/>
    <x v="0"/>
    <s v="Debit Card"/>
    <s v="ICICI Bank"/>
    <s v="Yes"/>
    <n v="4"/>
    <s v="HDFC Ergo"/>
    <n v="24"/>
    <n v="291256"/>
    <n v="756000"/>
    <x v="0"/>
    <s v="no"/>
    <x v="0"/>
  </r>
  <r>
    <n v="1002"/>
    <s v="Rahul Sharma"/>
    <s v="Female"/>
    <n v="50"/>
    <x v="1"/>
    <x v="1"/>
    <x v="1"/>
    <x v="1"/>
    <s v="Suresh Iyer"/>
    <s v="Highway Branch"/>
    <x v="1"/>
    <s v="UPI"/>
    <s v="SBI"/>
    <s v="Yes"/>
    <n v="3"/>
    <s v="Bajaj Allianz"/>
    <n v="21"/>
    <n v="94767"/>
    <n v="1764000"/>
    <x v="1"/>
    <s v="yes"/>
    <x v="1"/>
  </r>
  <r>
    <n v="1003"/>
    <s v="Vikas Joshi"/>
    <s v="Female"/>
    <n v="60"/>
    <x v="2"/>
    <x v="1"/>
    <x v="2"/>
    <x v="0"/>
    <s v="Rohit Singh"/>
    <s v="Central Showroom"/>
    <x v="2"/>
    <s v="UPI"/>
    <s v="Axis Bank"/>
    <s v="No"/>
    <n v="3"/>
    <s v="ICICI Lombard"/>
    <n v="14"/>
    <n v="284831"/>
    <n v="5760000"/>
    <x v="2"/>
    <s v="yes"/>
    <x v="2"/>
  </r>
  <r>
    <n v="1004"/>
    <s v="Pooja Malhotra"/>
    <s v="Female"/>
    <n v="29"/>
    <x v="0"/>
    <x v="2"/>
    <x v="3"/>
    <x v="2"/>
    <s v="Kunal Mehta"/>
    <s v="Central Showroom"/>
    <x v="3"/>
    <s v="Bank Loan"/>
    <s v="SBI"/>
    <s v="No"/>
    <n v="3"/>
    <s v="HDFC Ergo"/>
    <n v="12"/>
    <n v="251959"/>
    <n v="756000"/>
    <x v="3"/>
    <s v="no"/>
    <x v="0"/>
  </r>
  <r>
    <n v="1005"/>
    <s v="Riya Kapoor"/>
    <s v="Female"/>
    <n v="51"/>
    <x v="3"/>
    <x v="3"/>
    <x v="4"/>
    <x v="3"/>
    <s v="Rohit Singh"/>
    <s v="Highway Branch"/>
    <x v="4"/>
    <s v="Cash"/>
    <s v="SBI"/>
    <s v="Yes"/>
    <n v="5"/>
    <s v="ICICI Lombard"/>
    <n v="22"/>
    <n v="58726"/>
    <n v="2250000"/>
    <x v="4"/>
    <s v="no"/>
    <x v="1"/>
  </r>
  <r>
    <n v="1006"/>
    <s v="Mohit Gupta"/>
    <s v="Female"/>
    <n v="39"/>
    <x v="4"/>
    <x v="1"/>
    <x v="5"/>
    <x v="4"/>
    <s v="Suresh Iyer"/>
    <s v="City Mall Branch"/>
    <x v="5"/>
    <s v="Credit Card"/>
    <s v="Axis Bank"/>
    <s v="No"/>
    <n v="4"/>
    <s v="Bajaj Allianz"/>
    <n v="12"/>
    <n v="231295"/>
    <n v="846000"/>
    <x v="5"/>
    <s v="no"/>
    <x v="0"/>
  </r>
  <r>
    <n v="1007"/>
    <s v="Priya Shah"/>
    <s v="Female"/>
    <n v="33"/>
    <x v="5"/>
    <x v="2"/>
    <x v="6"/>
    <x v="5"/>
    <s v="Amit Patel"/>
    <s v="City Mall Branch"/>
    <x v="6"/>
    <s v="Bank Loan"/>
    <s v="HDFC Bank"/>
    <s v="No"/>
    <n v="5"/>
    <s v="Bajaj Allianz"/>
    <n v="6"/>
    <n v="281298"/>
    <n v="1224000"/>
    <x v="6"/>
    <s v="no"/>
    <x v="0"/>
  </r>
  <r>
    <n v="1008"/>
    <s v="Nitin Agarwal"/>
    <s v="Male"/>
    <n v="50"/>
    <x v="1"/>
    <x v="2"/>
    <x v="1"/>
    <x v="1"/>
    <s v="Suresh Iyer"/>
    <s v="City Mall Branch"/>
    <x v="7"/>
    <s v="UPI"/>
    <s v="HDFC Bank"/>
    <s v="Yes"/>
    <n v="5"/>
    <s v="ICICI Lombard"/>
    <n v="23"/>
    <n v="267390"/>
    <n v="1764000"/>
    <x v="7"/>
    <s v="yes"/>
    <x v="1"/>
  </r>
  <r>
    <n v="1009"/>
    <s v="Sneha Desai"/>
    <s v="Female"/>
    <n v="54"/>
    <x v="6"/>
    <x v="0"/>
    <x v="1"/>
    <x v="1"/>
    <s v="Amit Patel"/>
    <s v="City Mall Branch"/>
    <x v="8"/>
    <s v="Debit Card"/>
    <s v="ICICI Bank"/>
    <s v="No"/>
    <n v="4"/>
    <s v="HDFC Ergo"/>
    <n v="16"/>
    <n v="251721"/>
    <n v="1098000"/>
    <x v="8"/>
    <s v="no"/>
    <x v="0"/>
  </r>
  <r>
    <n v="1010"/>
    <s v="Riya Kapoor"/>
    <s v="Male"/>
    <n v="56"/>
    <x v="0"/>
    <x v="0"/>
    <x v="4"/>
    <x v="3"/>
    <s v="Kunal Mehta"/>
    <s v="City Mall Branch"/>
    <x v="9"/>
    <s v="UPI"/>
    <s v="HDFC Bank"/>
    <s v="Yes"/>
    <n v="3"/>
    <s v="HDFC Ergo"/>
    <n v="18"/>
    <n v="235444"/>
    <n v="756000"/>
    <x v="9"/>
    <s v="no"/>
    <x v="0"/>
  </r>
  <r>
    <n v="1011"/>
    <s v="Sneha Desai"/>
    <s v="Male"/>
    <n v="51"/>
    <x v="3"/>
    <x v="2"/>
    <x v="6"/>
    <x v="5"/>
    <s v="Rohit Singh"/>
    <s v="Highway Branch"/>
    <x v="10"/>
    <s v="UPI"/>
    <s v="Axis Bank"/>
    <s v="Yes"/>
    <n v="4"/>
    <s v="Tata AIG"/>
    <n v="19"/>
    <n v="164128"/>
    <n v="2250000"/>
    <x v="10"/>
    <s v="no"/>
    <x v="1"/>
  </r>
  <r>
    <n v="1012"/>
    <s v="Sneha Desai"/>
    <s v="Female"/>
    <n v="45"/>
    <x v="2"/>
    <x v="3"/>
    <x v="3"/>
    <x v="2"/>
    <s v="Amit Patel"/>
    <s v="Premium Lounge"/>
    <x v="11"/>
    <s v="Debit Card"/>
    <s v="HDFC Bank"/>
    <s v="No"/>
    <n v="3"/>
    <s v="HDFC Ergo"/>
    <n v="25"/>
    <n v="105039"/>
    <n v="5760000"/>
    <x v="11"/>
    <s v="yes"/>
    <x v="2"/>
  </r>
  <r>
    <n v="1013"/>
    <s v="Mohit Gupta"/>
    <s v="Female"/>
    <n v="37"/>
    <x v="3"/>
    <x v="0"/>
    <x v="1"/>
    <x v="1"/>
    <s v="Suresh Iyer"/>
    <s v="Highway Branch"/>
    <x v="12"/>
    <s v="Bank Loan"/>
    <s v="HDFC Bank"/>
    <s v="No"/>
    <n v="5"/>
    <s v="Tata AIG"/>
    <n v="16"/>
    <n v="242961"/>
    <n v="2250000"/>
    <x v="12"/>
    <s v="no"/>
    <x v="1"/>
  </r>
  <r>
    <n v="1014"/>
    <s v="Pooja Malhotra"/>
    <s v="Female"/>
    <n v="53"/>
    <x v="7"/>
    <x v="1"/>
    <x v="7"/>
    <x v="0"/>
    <s v="Kunal Mehta"/>
    <s v="Premium Lounge"/>
    <x v="13"/>
    <s v="UPI"/>
    <s v="Axis Bank"/>
    <s v="Yes"/>
    <n v="3"/>
    <s v="HDFC Ergo"/>
    <n v="5"/>
    <n v="89961"/>
    <n v="702000"/>
    <x v="13"/>
    <s v="no"/>
    <x v="0"/>
  </r>
  <r>
    <n v="1015"/>
    <s v="Nitin Agarwal"/>
    <s v="Female"/>
    <n v="46"/>
    <x v="6"/>
    <x v="2"/>
    <x v="1"/>
    <x v="1"/>
    <s v="Rohit Singh"/>
    <s v="Highway Branch"/>
    <x v="9"/>
    <s v="Cash"/>
    <s v="Axis Bank"/>
    <s v="No"/>
    <n v="3"/>
    <s v="ICICI Lombard"/>
    <n v="13"/>
    <n v="107476"/>
    <n v="1098000"/>
    <x v="14"/>
    <s v="no"/>
    <x v="0"/>
  </r>
  <r>
    <n v="1016"/>
    <s v="Riya Kapoor"/>
    <s v="Female"/>
    <n v="44"/>
    <x v="0"/>
    <x v="2"/>
    <x v="6"/>
    <x v="5"/>
    <s v="Kunal Mehta"/>
    <s v="Central Showroom"/>
    <x v="14"/>
    <s v="UPI"/>
    <s v="Kotak Bank"/>
    <s v="No"/>
    <n v="3"/>
    <s v="Tata AIG"/>
    <n v="16"/>
    <n v="100257"/>
    <n v="756000"/>
    <x v="15"/>
    <s v="no"/>
    <x v="0"/>
  </r>
  <r>
    <n v="1017"/>
    <s v="Harsh Patel"/>
    <s v="Male"/>
    <n v="42"/>
    <x v="6"/>
    <x v="3"/>
    <x v="5"/>
    <x v="4"/>
    <s v="Rohit Singh"/>
    <s v="City Mall Branch"/>
    <x v="15"/>
    <s v="Cash"/>
    <s v="ICICI Bank"/>
    <s v="Yes"/>
    <n v="2"/>
    <s v="ICICI Lombard"/>
    <n v="18"/>
    <n v="88063"/>
    <n v="1098000"/>
    <x v="16"/>
    <s v="no"/>
    <x v="0"/>
  </r>
  <r>
    <n v="1018"/>
    <s v="Vikas Joshi"/>
    <s v="Female"/>
    <n v="27"/>
    <x v="7"/>
    <x v="3"/>
    <x v="5"/>
    <x v="4"/>
    <s v="Vivek Sharma"/>
    <s v="City Mall Branch"/>
    <x v="16"/>
    <s v="Credit Card"/>
    <s v="Kotak Bank"/>
    <s v="Yes"/>
    <n v="5"/>
    <s v="Bajaj Allianz"/>
    <n v="15"/>
    <n v="68462"/>
    <n v="702000"/>
    <x v="17"/>
    <s v="no"/>
    <x v="0"/>
  </r>
  <r>
    <n v="1019"/>
    <s v="Ankit Mehta"/>
    <s v="Female"/>
    <n v="53"/>
    <x v="3"/>
    <x v="3"/>
    <x v="0"/>
    <x v="0"/>
    <s v="Suresh Iyer"/>
    <s v="City Mall Branch"/>
    <x v="17"/>
    <s v="Debit Card"/>
    <s v="SBI"/>
    <s v="Yes"/>
    <n v="2"/>
    <s v="Tata AIG"/>
    <n v="15"/>
    <n v="157232"/>
    <n v="2250000"/>
    <x v="18"/>
    <s v="no"/>
    <x v="1"/>
  </r>
  <r>
    <n v="1020"/>
    <s v="Rohit Kumar"/>
    <s v="Female"/>
    <n v="36"/>
    <x v="1"/>
    <x v="3"/>
    <x v="4"/>
    <x v="3"/>
    <s v="Rohit Singh"/>
    <s v="Premium Lounge"/>
    <x v="18"/>
    <s v="UPI"/>
    <s v="Kotak Bank"/>
    <s v="No"/>
    <n v="5"/>
    <s v="Bajaj Allianz"/>
    <n v="8"/>
    <n v="288545"/>
    <n v="1764000"/>
    <x v="19"/>
    <s v="yes"/>
    <x v="1"/>
  </r>
  <r>
    <n v="1021"/>
    <s v="Priya Shah"/>
    <s v="Female"/>
    <n v="42"/>
    <x v="0"/>
    <x v="0"/>
    <x v="4"/>
    <x v="3"/>
    <s v="Rohit Singh"/>
    <s v="Central Showroom"/>
    <x v="19"/>
    <s v="Bank Loan"/>
    <s v="SBI"/>
    <s v="No"/>
    <n v="3"/>
    <s v="ICICI Lombard"/>
    <n v="20"/>
    <n v="141395"/>
    <n v="756000"/>
    <x v="20"/>
    <s v="no"/>
    <x v="0"/>
  </r>
  <r>
    <n v="1022"/>
    <s v="Aman Jain"/>
    <s v="Male"/>
    <n v="51"/>
    <x v="2"/>
    <x v="1"/>
    <x v="8"/>
    <x v="6"/>
    <s v="Suresh Iyer"/>
    <s v="Highway Branch"/>
    <x v="20"/>
    <s v="Bank Loan"/>
    <s v="HDFC Bank"/>
    <s v="Yes"/>
    <n v="3"/>
    <s v="ICICI Lombard"/>
    <n v="9"/>
    <n v="114057"/>
    <n v="5760000"/>
    <x v="21"/>
    <s v="yes"/>
    <x v="2"/>
  </r>
  <r>
    <n v="1023"/>
    <s v="Kavita Shah"/>
    <s v="Female"/>
    <n v="47"/>
    <x v="2"/>
    <x v="0"/>
    <x v="2"/>
    <x v="0"/>
    <s v="Rohit Singh"/>
    <s v="City Mall Branch"/>
    <x v="21"/>
    <s v="Cash"/>
    <s v="Kotak Bank"/>
    <s v="Yes"/>
    <n v="3"/>
    <s v="ICICI Lombard"/>
    <n v="14"/>
    <n v="271605"/>
    <n v="5760000"/>
    <x v="22"/>
    <s v="yes"/>
    <x v="2"/>
  </r>
  <r>
    <n v="1024"/>
    <s v="Pooja Malhotra"/>
    <s v="Female"/>
    <n v="27"/>
    <x v="6"/>
    <x v="0"/>
    <x v="4"/>
    <x v="3"/>
    <s v="Vivek Sharma"/>
    <s v="City Mall Branch"/>
    <x v="22"/>
    <s v="Credit Card"/>
    <s v="SBI"/>
    <s v="Yes"/>
    <n v="2"/>
    <s v="ICICI Lombard"/>
    <n v="24"/>
    <n v="112956"/>
    <n v="1098000"/>
    <x v="23"/>
    <s v="no"/>
    <x v="0"/>
  </r>
  <r>
    <n v="1025"/>
    <s v="Rahul Sharma"/>
    <s v="Female"/>
    <n v="30"/>
    <x v="2"/>
    <x v="1"/>
    <x v="8"/>
    <x v="6"/>
    <s v="Amit Patel"/>
    <s v="Central Showroom"/>
    <x v="23"/>
    <s v="Cash"/>
    <s v="HDFC Bank"/>
    <s v="No"/>
    <n v="4"/>
    <s v="Bajaj Allianz"/>
    <n v="7"/>
    <n v="81891"/>
    <n v="5760000"/>
    <x v="24"/>
    <s v="yes"/>
    <x v="2"/>
  </r>
  <r>
    <n v="1026"/>
    <s v="Harsh Patel"/>
    <s v="Female"/>
    <n v="50"/>
    <x v="8"/>
    <x v="2"/>
    <x v="3"/>
    <x v="2"/>
    <s v="Suresh Iyer"/>
    <s v="Highway Branch"/>
    <x v="24"/>
    <s v="Debit Card"/>
    <s v="Axis Bank"/>
    <s v="Yes"/>
    <n v="3"/>
    <s v="ICICI Lombard"/>
    <n v="15"/>
    <n v="276004"/>
    <n v="936000"/>
    <x v="25"/>
    <s v="no"/>
    <x v="0"/>
  </r>
  <r>
    <n v="1027"/>
    <s v="Pooja Malhotra"/>
    <s v="Male"/>
    <n v="29"/>
    <x v="1"/>
    <x v="1"/>
    <x v="4"/>
    <x v="3"/>
    <s v="Rohit Singh"/>
    <s v="City Mall Branch"/>
    <x v="5"/>
    <s v="Credit Card"/>
    <s v="Axis Bank"/>
    <s v="Yes"/>
    <n v="3"/>
    <s v="Bajaj Allianz"/>
    <n v="24"/>
    <n v="222134"/>
    <n v="1764000"/>
    <x v="26"/>
    <s v="yes"/>
    <x v="1"/>
  </r>
  <r>
    <n v="1028"/>
    <s v="Neha Verma"/>
    <s v="Female"/>
    <n v="50"/>
    <x v="0"/>
    <x v="3"/>
    <x v="9"/>
    <x v="6"/>
    <s v="Kunal Mehta"/>
    <s v="Highway Branch"/>
    <x v="25"/>
    <s v="Debit Card"/>
    <s v="Axis Bank"/>
    <s v="Yes"/>
    <n v="2"/>
    <s v="Bajaj Allianz"/>
    <n v="15"/>
    <n v="106965"/>
    <n v="756000"/>
    <x v="27"/>
    <s v="no"/>
    <x v="0"/>
  </r>
  <r>
    <n v="1029"/>
    <s v="Neha Verma"/>
    <s v="Male"/>
    <n v="41"/>
    <x v="5"/>
    <x v="2"/>
    <x v="3"/>
    <x v="2"/>
    <s v="Kunal Mehta"/>
    <s v="Premium Lounge"/>
    <x v="26"/>
    <s v="Debit Card"/>
    <s v="ICICI Bank"/>
    <s v="No"/>
    <n v="2"/>
    <s v="Bajaj Allianz"/>
    <n v="14"/>
    <n v="175863"/>
    <n v="1224000"/>
    <x v="28"/>
    <s v="no"/>
    <x v="0"/>
  </r>
  <r>
    <n v="1030"/>
    <s v="Sneha Desai"/>
    <s v="Male"/>
    <n v="55"/>
    <x v="9"/>
    <x v="3"/>
    <x v="7"/>
    <x v="0"/>
    <s v="Kunal Mehta"/>
    <s v="Premium Lounge"/>
    <x v="27"/>
    <s v="Bank Loan"/>
    <s v="HDFC Bank"/>
    <s v="Yes"/>
    <n v="5"/>
    <s v="Tata AIG"/>
    <n v="25"/>
    <n v="230808"/>
    <n v="1350000"/>
    <x v="29"/>
    <s v="no"/>
    <x v="0"/>
  </r>
  <r>
    <n v="1031"/>
    <s v="Neha Verma"/>
    <s v="Female"/>
    <n v="36"/>
    <x v="3"/>
    <x v="2"/>
    <x v="6"/>
    <x v="5"/>
    <s v="Kunal Mehta"/>
    <s v="Central Showroom"/>
    <x v="28"/>
    <s v="Bank Loan"/>
    <s v="SBI"/>
    <s v="Yes"/>
    <n v="3"/>
    <s v="HDFC Ergo"/>
    <n v="6"/>
    <n v="139232"/>
    <n v="2250000"/>
    <x v="30"/>
    <s v="no"/>
    <x v="1"/>
  </r>
  <r>
    <n v="1032"/>
    <s v="Sneha Desai"/>
    <s v="Female"/>
    <n v="55"/>
    <x v="7"/>
    <x v="0"/>
    <x v="5"/>
    <x v="4"/>
    <s v="Suresh Iyer"/>
    <s v="Highway Branch"/>
    <x v="29"/>
    <s v="Credit Card"/>
    <s v="Axis Bank"/>
    <s v="Yes"/>
    <n v="5"/>
    <s v="Bajaj Allianz"/>
    <n v="11"/>
    <n v="137388"/>
    <n v="702000"/>
    <x v="31"/>
    <s v="no"/>
    <x v="3"/>
  </r>
  <r>
    <n v="1033"/>
    <s v="Vikas Joshi"/>
    <s v="Male"/>
    <n v="32"/>
    <x v="6"/>
    <x v="3"/>
    <x v="3"/>
    <x v="2"/>
    <s v="Suresh Iyer"/>
    <s v="City Mall Branch"/>
    <x v="30"/>
    <s v="Debit Card"/>
    <s v="Axis Bank"/>
    <s v="Yes"/>
    <n v="2"/>
    <s v="HDFC Ergo"/>
    <n v="5"/>
    <n v="224132"/>
    <n v="1098000"/>
    <x v="32"/>
    <s v="no"/>
    <x v="0"/>
  </r>
  <r>
    <n v="1034"/>
    <s v="Suresh Nair"/>
    <s v="Female"/>
    <n v="60"/>
    <x v="5"/>
    <x v="1"/>
    <x v="8"/>
    <x v="6"/>
    <s v="Vivek Sharma"/>
    <s v="Premium Lounge"/>
    <x v="31"/>
    <s v="Debit Card"/>
    <s v="Kotak Bank"/>
    <s v="Yes"/>
    <n v="3"/>
    <s v="Bajaj Allianz"/>
    <n v="12"/>
    <n v="180119"/>
    <n v="1224000"/>
    <x v="33"/>
    <s v="no"/>
    <x v="0"/>
  </r>
  <r>
    <n v="1035"/>
    <s v="Kavita Shah"/>
    <s v="Male"/>
    <n v="44"/>
    <x v="4"/>
    <x v="0"/>
    <x v="9"/>
    <x v="6"/>
    <s v="Vivek Sharma"/>
    <s v="Central Showroom"/>
    <x v="32"/>
    <s v="Cash"/>
    <s v="ICICI Bank"/>
    <s v="No"/>
    <n v="5"/>
    <s v="ICICI Lombard"/>
    <n v="22"/>
    <n v="279171"/>
    <n v="846000"/>
    <x v="34"/>
    <s v="no"/>
    <x v="0"/>
  </r>
  <r>
    <n v="1036"/>
    <s v="Suresh Nair"/>
    <s v="Male"/>
    <n v="49"/>
    <x v="4"/>
    <x v="0"/>
    <x v="7"/>
    <x v="0"/>
    <s v="Amit Patel"/>
    <s v="Highway Branch"/>
    <x v="33"/>
    <s v="Debit Card"/>
    <s v="HDFC Bank"/>
    <s v="Yes"/>
    <n v="3"/>
    <s v="Bajaj Allianz"/>
    <n v="18"/>
    <n v="140891"/>
    <n v="846000"/>
    <x v="35"/>
    <s v="no"/>
    <x v="0"/>
  </r>
  <r>
    <n v="1037"/>
    <s v="Vikas Joshi"/>
    <s v="Female"/>
    <n v="32"/>
    <x v="2"/>
    <x v="2"/>
    <x v="1"/>
    <x v="1"/>
    <s v="Suresh Iyer"/>
    <s v="Highway Branch"/>
    <x v="34"/>
    <s v="Debit Card"/>
    <s v="SBI"/>
    <s v="Yes"/>
    <n v="3"/>
    <s v="Bajaj Allianz"/>
    <n v="18"/>
    <n v="194311"/>
    <n v="5760000"/>
    <x v="36"/>
    <s v="yes"/>
    <x v="2"/>
  </r>
  <r>
    <n v="1038"/>
    <s v="Mohit Gupta"/>
    <s v="Male"/>
    <n v="31"/>
    <x v="2"/>
    <x v="3"/>
    <x v="8"/>
    <x v="6"/>
    <s v="Vivek Sharma"/>
    <s v="Highway Branch"/>
    <x v="35"/>
    <s v="Debit Card"/>
    <s v="SBI"/>
    <s v="No"/>
    <n v="2"/>
    <s v="Tata AIG"/>
    <n v="10"/>
    <n v="66477"/>
    <n v="5760000"/>
    <x v="37"/>
    <s v="yes"/>
    <x v="2"/>
  </r>
  <r>
    <n v="1039"/>
    <s v="Ankit Mehta"/>
    <s v="Female"/>
    <n v="48"/>
    <x v="4"/>
    <x v="3"/>
    <x v="8"/>
    <x v="6"/>
    <s v="Vivek Sharma"/>
    <s v="Highway Branch"/>
    <x v="34"/>
    <s v="Bank Loan"/>
    <s v="Axis Bank"/>
    <s v="No"/>
    <n v="5"/>
    <s v="Tata AIG"/>
    <n v="20"/>
    <n v="75064"/>
    <n v="846000"/>
    <x v="38"/>
    <s v="no"/>
    <x v="0"/>
  </r>
  <r>
    <n v="1040"/>
    <s v="Rohit Kumar"/>
    <s v="Male"/>
    <n v="33"/>
    <x v="5"/>
    <x v="3"/>
    <x v="8"/>
    <x v="6"/>
    <s v="Amit Patel"/>
    <s v="Premium Lounge"/>
    <x v="36"/>
    <s v="Cash"/>
    <s v="Axis Bank"/>
    <s v="Yes"/>
    <n v="5"/>
    <s v="Tata AIG"/>
    <n v="11"/>
    <n v="130840"/>
    <n v="1224000"/>
    <x v="39"/>
    <s v="no"/>
    <x v="0"/>
  </r>
  <r>
    <n v="1041"/>
    <s v="Ankit Mehta"/>
    <s v="Female"/>
    <n v="59"/>
    <x v="2"/>
    <x v="2"/>
    <x v="4"/>
    <x v="3"/>
    <s v="Kunal Mehta"/>
    <s v="Premium Lounge"/>
    <x v="36"/>
    <s v="Bank Loan"/>
    <s v="Kotak Bank"/>
    <s v="Yes"/>
    <n v="3"/>
    <s v="Bajaj Allianz"/>
    <n v="6"/>
    <n v="153368"/>
    <n v="5760000"/>
    <x v="40"/>
    <s v="yes"/>
    <x v="2"/>
  </r>
  <r>
    <n v="1042"/>
    <s v="Neha Verma"/>
    <s v="Female"/>
    <n v="42"/>
    <x v="7"/>
    <x v="2"/>
    <x v="3"/>
    <x v="2"/>
    <s v="Amit Patel"/>
    <s v="Central Showroom"/>
    <x v="37"/>
    <s v="Bank Loan"/>
    <s v="ICICI Bank"/>
    <s v="No"/>
    <n v="3"/>
    <s v="Tata AIG"/>
    <n v="17"/>
    <n v="77299"/>
    <n v="702000"/>
    <x v="41"/>
    <s v="no"/>
    <x v="0"/>
  </r>
  <r>
    <n v="1043"/>
    <s v="Vikas Joshi"/>
    <s v="Female"/>
    <n v="31"/>
    <x v="8"/>
    <x v="1"/>
    <x v="3"/>
    <x v="2"/>
    <s v="Vivek Sharma"/>
    <s v="City Mall Branch"/>
    <x v="38"/>
    <s v="UPI"/>
    <s v="HDFC Bank"/>
    <s v="No"/>
    <n v="4"/>
    <s v="Bajaj Allianz"/>
    <n v="8"/>
    <n v="221608"/>
    <n v="936000"/>
    <x v="42"/>
    <s v="no"/>
    <x v="0"/>
  </r>
  <r>
    <n v="1044"/>
    <s v="Sneha Desai"/>
    <s v="Male"/>
    <n v="52"/>
    <x v="1"/>
    <x v="3"/>
    <x v="3"/>
    <x v="2"/>
    <s v="Rohit Singh"/>
    <s v="Highway Branch"/>
    <x v="39"/>
    <s v="Cash"/>
    <s v="ICICI Bank"/>
    <s v="Yes"/>
    <n v="5"/>
    <s v="ICICI Lombard"/>
    <n v="18"/>
    <n v="185652"/>
    <n v="1764000"/>
    <x v="43"/>
    <s v="yes"/>
    <x v="1"/>
  </r>
  <r>
    <n v="1045"/>
    <s v="Ankit Mehta"/>
    <s v="Male"/>
    <n v="45"/>
    <x v="6"/>
    <x v="3"/>
    <x v="3"/>
    <x v="2"/>
    <s v="Amit Patel"/>
    <s v="Central Showroom"/>
    <x v="40"/>
    <s v="Cash"/>
    <s v="ICICI Bank"/>
    <s v="Yes"/>
    <n v="5"/>
    <s v="HDFC Ergo"/>
    <n v="17"/>
    <n v="280160"/>
    <n v="1098000"/>
    <x v="44"/>
    <s v="no"/>
    <x v="0"/>
  </r>
  <r>
    <n v="1046"/>
    <s v="Neha Verma"/>
    <s v="Male"/>
    <n v="36"/>
    <x v="1"/>
    <x v="2"/>
    <x v="4"/>
    <x v="3"/>
    <s v="Suresh Iyer"/>
    <s v="Central Showroom"/>
    <x v="41"/>
    <s v="UPI"/>
    <s v="Axis Bank"/>
    <s v="No"/>
    <n v="3"/>
    <s v="Bajaj Allianz"/>
    <n v="15"/>
    <n v="93096"/>
    <n v="1764000"/>
    <x v="45"/>
    <s v="yes"/>
    <x v="1"/>
  </r>
  <r>
    <n v="1047"/>
    <s v="Suresh Nair"/>
    <s v="Male"/>
    <n v="32"/>
    <x v="0"/>
    <x v="2"/>
    <x v="9"/>
    <x v="6"/>
    <s v="Suresh Iyer"/>
    <s v="Premium Lounge"/>
    <x v="42"/>
    <s v="Cash"/>
    <s v="ICICI Bank"/>
    <s v="Yes"/>
    <n v="3"/>
    <s v="Tata AIG"/>
    <n v="7"/>
    <n v="224366"/>
    <n v="756000"/>
    <x v="46"/>
    <s v="no"/>
    <x v="0"/>
  </r>
  <r>
    <n v="1048"/>
    <s v="Neha Verma"/>
    <s v="Female"/>
    <n v="52"/>
    <x v="0"/>
    <x v="2"/>
    <x v="9"/>
    <x v="6"/>
    <s v="Amit Patel"/>
    <s v="City Mall Branch"/>
    <x v="43"/>
    <s v="Cash"/>
    <s v="Axis Bank"/>
    <s v="No"/>
    <n v="4"/>
    <s v="Bajaj Allianz"/>
    <n v="6"/>
    <n v="182668"/>
    <n v="756000"/>
    <x v="47"/>
    <s v="no"/>
    <x v="0"/>
  </r>
  <r>
    <n v="1049"/>
    <s v="Neha Verma"/>
    <s v="Female"/>
    <n v="44"/>
    <x v="8"/>
    <x v="0"/>
    <x v="1"/>
    <x v="1"/>
    <s v="Kunal Mehta"/>
    <s v="Premium Lounge"/>
    <x v="44"/>
    <s v="Cash"/>
    <s v="HDFC Bank"/>
    <s v="No"/>
    <n v="5"/>
    <s v="Tata AIG"/>
    <n v="18"/>
    <n v="154578"/>
    <n v="936000"/>
    <x v="48"/>
    <s v="no"/>
    <x v="0"/>
  </r>
  <r>
    <n v="1050"/>
    <s v="Vikas Joshi"/>
    <s v="Male"/>
    <n v="55"/>
    <x v="0"/>
    <x v="2"/>
    <x v="9"/>
    <x v="6"/>
    <s v="Rohit Singh"/>
    <s v="Premium Lounge"/>
    <x v="45"/>
    <s v="UPI"/>
    <s v="Kotak Bank"/>
    <s v="No"/>
    <n v="3"/>
    <s v="Tata AIG"/>
    <n v="16"/>
    <n v="54339"/>
    <n v="756000"/>
    <x v="49"/>
    <s v="no"/>
    <x v="0"/>
  </r>
  <r>
    <n v="1051"/>
    <s v="Rahul Sharma"/>
    <s v="Female"/>
    <n v="48"/>
    <x v="5"/>
    <x v="2"/>
    <x v="7"/>
    <x v="0"/>
    <s v="Amit Patel"/>
    <s v="Highway Branch"/>
    <x v="46"/>
    <s v="Bank Loan"/>
    <s v="Kotak Bank"/>
    <s v="Yes"/>
    <n v="5"/>
    <s v="HDFC Ergo"/>
    <n v="21"/>
    <n v="53349"/>
    <n v="1224000"/>
    <x v="50"/>
    <s v="no"/>
    <x v="0"/>
  </r>
  <r>
    <n v="1052"/>
    <s v="Aman Jain"/>
    <s v="Female"/>
    <n v="45"/>
    <x v="5"/>
    <x v="3"/>
    <x v="6"/>
    <x v="5"/>
    <s v="Rohit Singh"/>
    <s v="Central Showroom"/>
    <x v="47"/>
    <s v="Debit Card"/>
    <s v="ICICI Bank"/>
    <s v="No"/>
    <n v="3"/>
    <s v="Bajaj Allianz"/>
    <n v="19"/>
    <n v="261054"/>
    <n v="1224000"/>
    <x v="51"/>
    <s v="no"/>
    <x v="0"/>
  </r>
  <r>
    <n v="1053"/>
    <s v="Kavita Shah"/>
    <s v="Male"/>
    <n v="49"/>
    <x v="0"/>
    <x v="3"/>
    <x v="4"/>
    <x v="3"/>
    <s v="Amit Patel"/>
    <s v="Highway Branch"/>
    <x v="48"/>
    <s v="Cash"/>
    <s v="Axis Bank"/>
    <s v="Yes"/>
    <n v="3"/>
    <s v="HDFC Ergo"/>
    <n v="25"/>
    <n v="50224"/>
    <n v="756000"/>
    <x v="52"/>
    <s v="no"/>
    <x v="0"/>
  </r>
  <r>
    <n v="1054"/>
    <s v="Mohit Gupta"/>
    <s v="Male"/>
    <n v="51"/>
    <x v="9"/>
    <x v="3"/>
    <x v="5"/>
    <x v="4"/>
    <s v="Amit Patel"/>
    <s v="City Mall Branch"/>
    <x v="49"/>
    <s v="Cash"/>
    <s v="Kotak Bank"/>
    <s v="Yes"/>
    <n v="2"/>
    <s v="HDFC Ergo"/>
    <n v="23"/>
    <n v="247082"/>
    <n v="1350000"/>
    <x v="53"/>
    <s v="no"/>
    <x v="0"/>
  </r>
  <r>
    <n v="1055"/>
    <s v="Aman Jain"/>
    <s v="Female"/>
    <n v="35"/>
    <x v="2"/>
    <x v="1"/>
    <x v="4"/>
    <x v="3"/>
    <s v="Suresh Iyer"/>
    <s v="Premium Lounge"/>
    <x v="50"/>
    <s v="Cash"/>
    <s v="HDFC Bank"/>
    <s v="Yes"/>
    <n v="3"/>
    <s v="Bajaj Allianz"/>
    <n v="9"/>
    <n v="63492"/>
    <n v="5760000"/>
    <x v="54"/>
    <s v="yes"/>
    <x v="2"/>
  </r>
  <r>
    <n v="1056"/>
    <s v="Kavita Shah"/>
    <s v="Female"/>
    <n v="50"/>
    <x v="4"/>
    <x v="3"/>
    <x v="6"/>
    <x v="5"/>
    <s v="Rohit Singh"/>
    <s v="Premium Lounge"/>
    <x v="51"/>
    <s v="Cash"/>
    <s v="ICICI Bank"/>
    <s v="Yes"/>
    <n v="4"/>
    <s v="Tata AIG"/>
    <n v="7"/>
    <n v="266404"/>
    <n v="846000"/>
    <x v="55"/>
    <s v="no"/>
    <x v="0"/>
  </r>
  <r>
    <n v="1057"/>
    <s v="Riya Kapoor"/>
    <s v="Female"/>
    <n v="30"/>
    <x v="6"/>
    <x v="1"/>
    <x v="9"/>
    <x v="6"/>
    <s v="Amit Patel"/>
    <s v="Premium Lounge"/>
    <x v="52"/>
    <s v="Cash"/>
    <s v="Axis Bank"/>
    <s v="No"/>
    <n v="3"/>
    <s v="Bajaj Allianz"/>
    <n v="23"/>
    <n v="127482"/>
    <n v="1098000"/>
    <x v="56"/>
    <s v="no"/>
    <x v="0"/>
  </r>
  <r>
    <n v="1058"/>
    <s v="Ankit Mehta"/>
    <s v="Male"/>
    <n v="28"/>
    <x v="2"/>
    <x v="3"/>
    <x v="2"/>
    <x v="0"/>
    <s v="Vivek Sharma"/>
    <s v="City Mall Branch"/>
    <x v="53"/>
    <s v="UPI"/>
    <s v="HDFC Bank"/>
    <s v="Yes"/>
    <n v="5"/>
    <s v="ICICI Lombard"/>
    <n v="15"/>
    <n v="73860"/>
    <n v="5760000"/>
    <x v="57"/>
    <s v="yes"/>
    <x v="2"/>
  </r>
  <r>
    <n v="1059"/>
    <s v="Nitin Agarwal"/>
    <s v="Female"/>
    <n v="34"/>
    <x v="5"/>
    <x v="3"/>
    <x v="1"/>
    <x v="1"/>
    <s v="Rohit Singh"/>
    <s v="City Mall Branch"/>
    <x v="54"/>
    <s v="Credit Card"/>
    <s v="Kotak Bank"/>
    <s v="No"/>
    <n v="3"/>
    <s v="Bajaj Allianz"/>
    <n v="6"/>
    <n v="159821"/>
    <n v="1224000"/>
    <x v="58"/>
    <s v="no"/>
    <x v="0"/>
  </r>
  <r>
    <n v="1060"/>
    <s v="Harsh Patel"/>
    <s v="Male"/>
    <n v="39"/>
    <x v="0"/>
    <x v="0"/>
    <x v="7"/>
    <x v="0"/>
    <s v="Rohit Singh"/>
    <s v="Highway Branch"/>
    <x v="55"/>
    <s v="Cash"/>
    <s v="HDFC Bank"/>
    <s v="Yes"/>
    <n v="3"/>
    <s v="Tata AIG"/>
    <n v="5"/>
    <n v="278601"/>
    <n v="756000"/>
    <x v="59"/>
    <s v="no"/>
    <x v="0"/>
  </r>
  <r>
    <n v="1061"/>
    <s v="Pooja Malhotra"/>
    <s v="Male"/>
    <n v="27"/>
    <x v="7"/>
    <x v="1"/>
    <x v="5"/>
    <x v="4"/>
    <s v="Rohit Singh"/>
    <s v="City Mall Branch"/>
    <x v="56"/>
    <s v="Cash"/>
    <s v="Kotak Bank"/>
    <s v="No"/>
    <n v="3"/>
    <s v="Bajaj Allianz"/>
    <n v="7"/>
    <n v="259714"/>
    <n v="702000"/>
    <x v="60"/>
    <s v="no"/>
    <x v="3"/>
  </r>
  <r>
    <n v="1062"/>
    <s v="Suresh Nair"/>
    <s v="Male"/>
    <n v="32"/>
    <x v="5"/>
    <x v="2"/>
    <x v="3"/>
    <x v="2"/>
    <s v="Kunal Mehta"/>
    <s v="Central Showroom"/>
    <x v="57"/>
    <s v="Credit Card"/>
    <s v="SBI"/>
    <s v="Yes"/>
    <n v="4"/>
    <s v="HDFC Ergo"/>
    <n v="14"/>
    <n v="199323"/>
    <n v="1224000"/>
    <x v="61"/>
    <s v="no"/>
    <x v="0"/>
  </r>
  <r>
    <n v="1063"/>
    <s v="Nitin Agarwal"/>
    <s v="Male"/>
    <n v="33"/>
    <x v="8"/>
    <x v="1"/>
    <x v="3"/>
    <x v="2"/>
    <s v="Amit Patel"/>
    <s v="Premium Lounge"/>
    <x v="58"/>
    <s v="Debit Card"/>
    <s v="ICICI Bank"/>
    <s v="No"/>
    <n v="5"/>
    <s v="Bajaj Allianz"/>
    <n v="16"/>
    <n v="234788"/>
    <n v="936000"/>
    <x v="62"/>
    <s v="no"/>
    <x v="0"/>
  </r>
  <r>
    <n v="1064"/>
    <s v="Pooja Malhotra"/>
    <s v="Female"/>
    <n v="41"/>
    <x v="5"/>
    <x v="0"/>
    <x v="5"/>
    <x v="4"/>
    <s v="Amit Patel"/>
    <s v="City Mall Branch"/>
    <x v="59"/>
    <s v="UPI"/>
    <s v="ICICI Bank"/>
    <s v="Yes"/>
    <n v="3"/>
    <s v="HDFC Ergo"/>
    <n v="13"/>
    <n v="221136"/>
    <n v="1224000"/>
    <x v="63"/>
    <s v="no"/>
    <x v="0"/>
  </r>
  <r>
    <n v="1065"/>
    <s v="Nitin Agarwal"/>
    <s v="Female"/>
    <n v="52"/>
    <x v="9"/>
    <x v="2"/>
    <x v="4"/>
    <x v="3"/>
    <s v="Kunal Mehta"/>
    <s v="Premium Lounge"/>
    <x v="60"/>
    <s v="Bank Loan"/>
    <s v="HDFC Bank"/>
    <s v="No"/>
    <n v="4"/>
    <s v="ICICI Lombard"/>
    <n v="18"/>
    <n v="189991"/>
    <n v="1350000"/>
    <x v="64"/>
    <s v="no"/>
    <x v="0"/>
  </r>
  <r>
    <n v="1066"/>
    <s v="Priya Shah"/>
    <s v="Female"/>
    <n v="25"/>
    <x v="8"/>
    <x v="1"/>
    <x v="7"/>
    <x v="0"/>
    <s v="Kunal Mehta"/>
    <s v="Premium Lounge"/>
    <x v="61"/>
    <s v="Bank Loan"/>
    <s v="Kotak Bank"/>
    <s v="No"/>
    <n v="2"/>
    <s v="Tata AIG"/>
    <n v="20"/>
    <n v="177976"/>
    <n v="936000"/>
    <x v="65"/>
    <s v="no"/>
    <x v="0"/>
  </r>
  <r>
    <n v="1067"/>
    <s v="Suresh Nair"/>
    <s v="Male"/>
    <n v="32"/>
    <x v="1"/>
    <x v="1"/>
    <x v="9"/>
    <x v="6"/>
    <s v="Kunal Mehta"/>
    <s v="Premium Lounge"/>
    <x v="62"/>
    <s v="Cash"/>
    <s v="Kotak Bank"/>
    <s v="Yes"/>
    <n v="4"/>
    <s v="ICICI Lombard"/>
    <n v="16"/>
    <n v="259483"/>
    <n v="1764000"/>
    <x v="66"/>
    <s v="yes"/>
    <x v="1"/>
  </r>
  <r>
    <n v="1068"/>
    <s v="Riya Kapoor"/>
    <s v="Female"/>
    <n v="30"/>
    <x v="0"/>
    <x v="0"/>
    <x v="4"/>
    <x v="3"/>
    <s v="Rohit Singh"/>
    <s v="Highway Branch"/>
    <x v="63"/>
    <s v="UPI"/>
    <s v="Kotak Bank"/>
    <s v="Yes"/>
    <n v="3"/>
    <s v="ICICI Lombard"/>
    <n v="16"/>
    <n v="224212"/>
    <n v="756000"/>
    <x v="67"/>
    <s v="no"/>
    <x v="0"/>
  </r>
  <r>
    <n v="1069"/>
    <s v="Kavita Shah"/>
    <s v="Male"/>
    <n v="38"/>
    <x v="3"/>
    <x v="1"/>
    <x v="2"/>
    <x v="0"/>
    <s v="Kunal Mehta"/>
    <s v="Highway Branch"/>
    <x v="64"/>
    <s v="Bank Loan"/>
    <s v="Kotak Bank"/>
    <s v="No"/>
    <n v="4"/>
    <s v="Tata AIG"/>
    <n v="7"/>
    <n v="141842"/>
    <n v="2250000"/>
    <x v="68"/>
    <s v="no"/>
    <x v="1"/>
  </r>
  <r>
    <n v="1070"/>
    <s v="Kavita Shah"/>
    <s v="Male"/>
    <n v="41"/>
    <x v="1"/>
    <x v="1"/>
    <x v="8"/>
    <x v="6"/>
    <s v="Suresh Iyer"/>
    <s v="Highway Branch"/>
    <x v="65"/>
    <s v="UPI"/>
    <s v="Axis Bank"/>
    <s v="Yes"/>
    <n v="3"/>
    <s v="Tata AIG"/>
    <n v="24"/>
    <n v="267785"/>
    <n v="1764000"/>
    <x v="69"/>
    <s v="yes"/>
    <x v="1"/>
  </r>
  <r>
    <n v="1071"/>
    <s v="Pooja Malhotra"/>
    <s v="Male"/>
    <n v="48"/>
    <x v="3"/>
    <x v="2"/>
    <x v="9"/>
    <x v="6"/>
    <s v="Vivek Sharma"/>
    <s v="Premium Lounge"/>
    <x v="66"/>
    <s v="UPI"/>
    <s v="Axis Bank"/>
    <s v="No"/>
    <n v="3"/>
    <s v="ICICI Lombard"/>
    <n v="5"/>
    <n v="130076"/>
    <n v="2250000"/>
    <x v="70"/>
    <s v="no"/>
    <x v="1"/>
  </r>
  <r>
    <n v="1072"/>
    <s v="Mohit Gupta"/>
    <s v="Female"/>
    <n v="56"/>
    <x v="2"/>
    <x v="0"/>
    <x v="5"/>
    <x v="4"/>
    <s v="Suresh Iyer"/>
    <s v="Highway Branch"/>
    <x v="59"/>
    <s v="UPI"/>
    <s v="HDFC Bank"/>
    <s v="Yes"/>
    <n v="2"/>
    <s v="HDFC Ergo"/>
    <n v="10"/>
    <n v="198702"/>
    <n v="5760000"/>
    <x v="71"/>
    <s v="yes"/>
    <x v="2"/>
  </r>
  <r>
    <n v="1073"/>
    <s v="Riya Kapoor"/>
    <s v="Female"/>
    <n v="56"/>
    <x v="2"/>
    <x v="0"/>
    <x v="4"/>
    <x v="3"/>
    <s v="Suresh Iyer"/>
    <s v="Premium Lounge"/>
    <x v="67"/>
    <s v="Credit Card"/>
    <s v="SBI"/>
    <s v="No"/>
    <n v="4"/>
    <s v="Bajaj Allianz"/>
    <n v="9"/>
    <n v="175719"/>
    <n v="5760000"/>
    <x v="72"/>
    <s v="yes"/>
    <x v="2"/>
  </r>
  <r>
    <n v="1074"/>
    <s v="Aman Jain"/>
    <s v="Male"/>
    <n v="38"/>
    <x v="1"/>
    <x v="3"/>
    <x v="3"/>
    <x v="2"/>
    <s v="Vivek Sharma"/>
    <s v="Central Showroom"/>
    <x v="68"/>
    <s v="Cash"/>
    <s v="Kotak Bank"/>
    <s v="Yes"/>
    <n v="4"/>
    <s v="Bajaj Allianz"/>
    <n v="18"/>
    <n v="254412"/>
    <n v="1764000"/>
    <x v="73"/>
    <s v="yes"/>
    <x v="1"/>
  </r>
  <r>
    <n v="1075"/>
    <s v="Pooja Malhotra"/>
    <s v="Male"/>
    <n v="34"/>
    <x v="0"/>
    <x v="0"/>
    <x v="6"/>
    <x v="5"/>
    <s v="Vivek Sharma"/>
    <s v="Premium Lounge"/>
    <x v="69"/>
    <s v="Credit Card"/>
    <s v="Axis Bank"/>
    <s v="No"/>
    <n v="4"/>
    <s v="HDFC Ergo"/>
    <n v="15"/>
    <n v="211692"/>
    <n v="756000"/>
    <x v="74"/>
    <s v="no"/>
    <x v="0"/>
  </r>
  <r>
    <n v="1076"/>
    <s v="Pooja Malhotra"/>
    <s v="Male"/>
    <n v="35"/>
    <x v="2"/>
    <x v="0"/>
    <x v="9"/>
    <x v="6"/>
    <s v="Rohit Singh"/>
    <s v="Premium Lounge"/>
    <x v="70"/>
    <s v="UPI"/>
    <s v="Axis Bank"/>
    <s v="Yes"/>
    <n v="3"/>
    <s v="HDFC Ergo"/>
    <n v="14"/>
    <n v="83614"/>
    <n v="5760000"/>
    <x v="75"/>
    <s v="yes"/>
    <x v="2"/>
  </r>
  <r>
    <n v="1077"/>
    <s v="Mohit Gupta"/>
    <s v="Female"/>
    <n v="46"/>
    <x v="3"/>
    <x v="1"/>
    <x v="7"/>
    <x v="0"/>
    <s v="Suresh Iyer"/>
    <s v="City Mall Branch"/>
    <x v="71"/>
    <s v="Bank Loan"/>
    <s v="Axis Bank"/>
    <s v="Yes"/>
    <n v="3"/>
    <s v="Tata AIG"/>
    <n v="17"/>
    <n v="245440"/>
    <n v="2250000"/>
    <x v="76"/>
    <s v="no"/>
    <x v="1"/>
  </r>
  <r>
    <n v="1078"/>
    <s v="Priya Shah"/>
    <s v="Female"/>
    <n v="25"/>
    <x v="3"/>
    <x v="2"/>
    <x v="1"/>
    <x v="1"/>
    <s v="Rohit Singh"/>
    <s v="Highway Branch"/>
    <x v="72"/>
    <s v="Debit Card"/>
    <s v="Kotak Bank"/>
    <s v="Yes"/>
    <n v="3"/>
    <s v="Tata AIG"/>
    <n v="11"/>
    <n v="68634"/>
    <n v="2250000"/>
    <x v="77"/>
    <s v="no"/>
    <x v="1"/>
  </r>
  <r>
    <n v="1079"/>
    <s v="Pooja Malhotra"/>
    <s v="Female"/>
    <n v="38"/>
    <x v="6"/>
    <x v="0"/>
    <x v="6"/>
    <x v="5"/>
    <s v="Rohit Singh"/>
    <s v="Premium Lounge"/>
    <x v="73"/>
    <s v="Credit Card"/>
    <s v="ICICI Bank"/>
    <s v="No"/>
    <n v="3"/>
    <s v="ICICI Lombard"/>
    <n v="16"/>
    <n v="110821"/>
    <n v="1098000"/>
    <x v="78"/>
    <s v="no"/>
    <x v="0"/>
  </r>
  <r>
    <n v="1080"/>
    <s v="Riya Kapoor"/>
    <s v="Male"/>
    <n v="30"/>
    <x v="5"/>
    <x v="2"/>
    <x v="6"/>
    <x v="5"/>
    <s v="Suresh Iyer"/>
    <s v="City Mall Branch"/>
    <x v="74"/>
    <s v="UPI"/>
    <s v="ICICI Bank"/>
    <s v="No"/>
    <n v="3"/>
    <s v="ICICI Lombard"/>
    <n v="23"/>
    <n v="114859"/>
    <n v="1224000"/>
    <x v="79"/>
    <s v="no"/>
    <x v="0"/>
  </r>
  <r>
    <n v="1081"/>
    <s v="Vikas Joshi"/>
    <s v="Male"/>
    <n v="40"/>
    <x v="3"/>
    <x v="2"/>
    <x v="2"/>
    <x v="0"/>
    <s v="Rohit Singh"/>
    <s v="Premium Lounge"/>
    <x v="75"/>
    <s v="Debit Card"/>
    <s v="SBI"/>
    <s v="Yes"/>
    <n v="5"/>
    <s v="HDFC Ergo"/>
    <n v="24"/>
    <n v="59388"/>
    <n v="2250000"/>
    <x v="80"/>
    <s v="no"/>
    <x v="1"/>
  </r>
  <r>
    <n v="1082"/>
    <s v="Ankit Mehta"/>
    <s v="Female"/>
    <n v="58"/>
    <x v="4"/>
    <x v="0"/>
    <x v="5"/>
    <x v="4"/>
    <s v="Kunal Mehta"/>
    <s v="Central Showroom"/>
    <x v="76"/>
    <s v="UPI"/>
    <s v="Axis Bank"/>
    <s v="No"/>
    <n v="2"/>
    <s v="Tata AIG"/>
    <n v="12"/>
    <n v="122798"/>
    <n v="846000"/>
    <x v="81"/>
    <s v="no"/>
    <x v="0"/>
  </r>
  <r>
    <n v="1083"/>
    <s v="Rohit Kumar"/>
    <s v="Male"/>
    <n v="58"/>
    <x v="4"/>
    <x v="2"/>
    <x v="8"/>
    <x v="6"/>
    <s v="Rohit Singh"/>
    <s v="Premium Lounge"/>
    <x v="77"/>
    <s v="UPI"/>
    <s v="HDFC Bank"/>
    <s v="Yes"/>
    <n v="2"/>
    <s v="Bajaj Allianz"/>
    <n v="16"/>
    <n v="56647"/>
    <n v="846000"/>
    <x v="82"/>
    <s v="no"/>
    <x v="0"/>
  </r>
  <r>
    <n v="1084"/>
    <s v="Rohit Kumar"/>
    <s v="Male"/>
    <n v="47"/>
    <x v="4"/>
    <x v="3"/>
    <x v="0"/>
    <x v="0"/>
    <s v="Suresh Iyer"/>
    <s v="City Mall Branch"/>
    <x v="78"/>
    <s v="Credit Card"/>
    <s v="Axis Bank"/>
    <s v="Yes"/>
    <n v="5"/>
    <s v="Bajaj Allianz"/>
    <n v="22"/>
    <n v="56968"/>
    <n v="846000"/>
    <x v="83"/>
    <s v="no"/>
    <x v="0"/>
  </r>
  <r>
    <n v="1085"/>
    <s v="Pooja Malhotra"/>
    <s v="Female"/>
    <n v="40"/>
    <x v="8"/>
    <x v="2"/>
    <x v="2"/>
    <x v="0"/>
    <s v="Kunal Mehta"/>
    <s v="Central Showroom"/>
    <x v="79"/>
    <s v="Bank Loan"/>
    <s v="Kotak Bank"/>
    <s v="Yes"/>
    <n v="2"/>
    <s v="ICICI Lombard"/>
    <n v="24"/>
    <n v="202161"/>
    <n v="936000"/>
    <x v="84"/>
    <s v="no"/>
    <x v="0"/>
  </r>
  <r>
    <n v="1086"/>
    <s v="Suresh Nair"/>
    <s v="Male"/>
    <n v="60"/>
    <x v="5"/>
    <x v="0"/>
    <x v="8"/>
    <x v="6"/>
    <s v="Suresh Iyer"/>
    <s v="City Mall Branch"/>
    <x v="80"/>
    <s v="Debit Card"/>
    <s v="SBI"/>
    <s v="Yes"/>
    <n v="5"/>
    <s v="Bajaj Allianz"/>
    <n v="17"/>
    <n v="122044"/>
    <n v="1224000"/>
    <x v="85"/>
    <s v="no"/>
    <x v="0"/>
  </r>
  <r>
    <n v="1087"/>
    <s v="Kavita Shah"/>
    <s v="Female"/>
    <n v="38"/>
    <x v="8"/>
    <x v="2"/>
    <x v="0"/>
    <x v="0"/>
    <s v="Suresh Iyer"/>
    <s v="Central Showroom"/>
    <x v="81"/>
    <s v="Bank Loan"/>
    <s v="Axis Bank"/>
    <s v="No"/>
    <n v="2"/>
    <s v="ICICI Lombard"/>
    <n v="5"/>
    <n v="223468"/>
    <n v="936000"/>
    <x v="86"/>
    <s v="no"/>
    <x v="0"/>
  </r>
  <r>
    <n v="1088"/>
    <s v="Sneha Desai"/>
    <s v="Male"/>
    <n v="40"/>
    <x v="6"/>
    <x v="2"/>
    <x v="9"/>
    <x v="6"/>
    <s v="Amit Patel"/>
    <s v="Premium Lounge"/>
    <x v="67"/>
    <s v="UPI"/>
    <s v="Axis Bank"/>
    <s v="Yes"/>
    <n v="4"/>
    <s v="Bajaj Allianz"/>
    <n v="7"/>
    <n v="254653"/>
    <n v="1098000"/>
    <x v="87"/>
    <s v="no"/>
    <x v="0"/>
  </r>
  <r>
    <n v="1089"/>
    <s v="Vikas Joshi"/>
    <s v="Female"/>
    <n v="44"/>
    <x v="3"/>
    <x v="0"/>
    <x v="2"/>
    <x v="0"/>
    <s v="Suresh Iyer"/>
    <s v="Central Showroom"/>
    <x v="82"/>
    <s v="Credit Card"/>
    <s v="SBI"/>
    <s v="No"/>
    <n v="2"/>
    <s v="ICICI Lombard"/>
    <n v="5"/>
    <n v="211713"/>
    <n v="2250000"/>
    <x v="88"/>
    <s v="no"/>
    <x v="1"/>
  </r>
  <r>
    <n v="1090"/>
    <s v="Rohit Kumar"/>
    <s v="Female"/>
    <n v="44"/>
    <x v="1"/>
    <x v="3"/>
    <x v="7"/>
    <x v="0"/>
    <s v="Vivek Sharma"/>
    <s v="City Mall Branch"/>
    <x v="83"/>
    <s v="UPI"/>
    <s v="Kotak Bank"/>
    <s v="No"/>
    <n v="4"/>
    <s v="Tata AIG"/>
    <n v="6"/>
    <n v="174466"/>
    <n v="1764000"/>
    <x v="89"/>
    <s v="yes"/>
    <x v="1"/>
  </r>
  <r>
    <n v="1091"/>
    <s v="Mohit Gupta"/>
    <s v="Male"/>
    <n v="50"/>
    <x v="1"/>
    <x v="3"/>
    <x v="8"/>
    <x v="6"/>
    <s v="Amit Patel"/>
    <s v="Central Showroom"/>
    <x v="84"/>
    <s v="Cash"/>
    <s v="ICICI Bank"/>
    <s v="No"/>
    <n v="2"/>
    <s v="ICICI Lombard"/>
    <n v="16"/>
    <n v="195100"/>
    <n v="1764000"/>
    <x v="90"/>
    <s v="yes"/>
    <x v="1"/>
  </r>
  <r>
    <n v="1092"/>
    <s v="Ankit Mehta"/>
    <s v="Male"/>
    <n v="27"/>
    <x v="2"/>
    <x v="2"/>
    <x v="4"/>
    <x v="3"/>
    <s v="Suresh Iyer"/>
    <s v="City Mall Branch"/>
    <x v="85"/>
    <s v="UPI"/>
    <s v="ICICI Bank"/>
    <s v="Yes"/>
    <n v="2"/>
    <s v="Tata AIG"/>
    <n v="25"/>
    <n v="96394"/>
    <n v="5760000"/>
    <x v="91"/>
    <s v="yes"/>
    <x v="2"/>
  </r>
  <r>
    <n v="1093"/>
    <s v="Pooja Malhotra"/>
    <s v="Male"/>
    <n v="37"/>
    <x v="3"/>
    <x v="0"/>
    <x v="6"/>
    <x v="5"/>
    <s v="Kunal Mehta"/>
    <s v="Highway Branch"/>
    <x v="86"/>
    <s v="Credit Card"/>
    <s v="HDFC Bank"/>
    <s v="No"/>
    <n v="4"/>
    <s v="ICICI Lombard"/>
    <n v="9"/>
    <n v="232470"/>
    <n v="2250000"/>
    <x v="92"/>
    <s v="no"/>
    <x v="1"/>
  </r>
  <r>
    <n v="1094"/>
    <s v="Vikas Joshi"/>
    <s v="Male"/>
    <n v="57"/>
    <x v="8"/>
    <x v="1"/>
    <x v="7"/>
    <x v="0"/>
    <s v="Amit Patel"/>
    <s v="Highway Branch"/>
    <x v="87"/>
    <s v="Cash"/>
    <s v="SBI"/>
    <s v="Yes"/>
    <n v="3"/>
    <s v="Bajaj Allianz"/>
    <n v="7"/>
    <n v="202985"/>
    <n v="936000"/>
    <x v="93"/>
    <s v="no"/>
    <x v="0"/>
  </r>
  <r>
    <n v="1095"/>
    <s v="Aman Jain"/>
    <s v="Male"/>
    <n v="39"/>
    <x v="6"/>
    <x v="0"/>
    <x v="7"/>
    <x v="0"/>
    <s v="Kunal Mehta"/>
    <s v="Premium Lounge"/>
    <x v="69"/>
    <s v="Cash"/>
    <s v="ICICI Bank"/>
    <s v="No"/>
    <n v="2"/>
    <s v="ICICI Lombard"/>
    <n v="7"/>
    <n v="125360"/>
    <n v="1098000"/>
    <x v="94"/>
    <s v="no"/>
    <x v="0"/>
  </r>
  <r>
    <n v="1096"/>
    <s v="Ankit Mehta"/>
    <s v="Female"/>
    <n v="37"/>
    <x v="7"/>
    <x v="1"/>
    <x v="7"/>
    <x v="0"/>
    <s v="Rohit Singh"/>
    <s v="Premium Lounge"/>
    <x v="88"/>
    <s v="Cash"/>
    <s v="Axis Bank"/>
    <s v="Yes"/>
    <n v="4"/>
    <s v="Bajaj Allianz"/>
    <n v="20"/>
    <n v="91231"/>
    <n v="702000"/>
    <x v="95"/>
    <s v="no"/>
    <x v="0"/>
  </r>
  <r>
    <n v="1097"/>
    <s v="Priya Shah"/>
    <s v="Male"/>
    <n v="36"/>
    <x v="4"/>
    <x v="0"/>
    <x v="1"/>
    <x v="1"/>
    <s v="Kunal Mehta"/>
    <s v="Central Showroom"/>
    <x v="89"/>
    <s v="Credit Card"/>
    <s v="ICICI Bank"/>
    <s v="No"/>
    <n v="2"/>
    <s v="HDFC Ergo"/>
    <n v="17"/>
    <n v="154885"/>
    <n v="846000"/>
    <x v="96"/>
    <s v="no"/>
    <x v="0"/>
  </r>
  <r>
    <n v="1098"/>
    <s v="Pooja Malhotra"/>
    <s v="Male"/>
    <n v="48"/>
    <x v="6"/>
    <x v="3"/>
    <x v="4"/>
    <x v="3"/>
    <s v="Suresh Iyer"/>
    <s v="Central Showroom"/>
    <x v="23"/>
    <s v="UPI"/>
    <s v="ICICI Bank"/>
    <s v="No"/>
    <n v="2"/>
    <s v="HDFC Ergo"/>
    <n v="23"/>
    <n v="288990"/>
    <n v="1098000"/>
    <x v="97"/>
    <s v="no"/>
    <x v="0"/>
  </r>
  <r>
    <n v="1099"/>
    <s v="Kavita Shah"/>
    <s v="Female"/>
    <n v="60"/>
    <x v="3"/>
    <x v="2"/>
    <x v="2"/>
    <x v="0"/>
    <s v="Amit Patel"/>
    <s v="Highway Branch"/>
    <x v="90"/>
    <s v="Cash"/>
    <s v="Kotak Bank"/>
    <s v="Yes"/>
    <n v="5"/>
    <s v="Bajaj Allianz"/>
    <n v="17"/>
    <n v="261790"/>
    <n v="2250000"/>
    <x v="98"/>
    <s v="no"/>
    <x v="1"/>
  </r>
  <r>
    <n v="1100"/>
    <s v="Nitin Agarwal"/>
    <s v="Male"/>
    <n v="58"/>
    <x v="7"/>
    <x v="2"/>
    <x v="2"/>
    <x v="0"/>
    <s v="Vivek Sharma"/>
    <s v="Highway Branch"/>
    <x v="91"/>
    <s v="Cash"/>
    <s v="HDFC Bank"/>
    <s v="No"/>
    <n v="3"/>
    <s v="Bajaj Allianz"/>
    <n v="25"/>
    <n v="142915"/>
    <n v="702000"/>
    <x v="99"/>
    <s v="no"/>
    <x v="3"/>
  </r>
  <r>
    <n v="1101"/>
    <s v="Vikas Joshi"/>
    <s v="Female"/>
    <n v="27"/>
    <x v="9"/>
    <x v="3"/>
    <x v="7"/>
    <x v="0"/>
    <s v="Vivek Sharma"/>
    <s v="Central Showroom"/>
    <x v="92"/>
    <s v="Cash"/>
    <s v="ICICI Bank"/>
    <s v="Yes"/>
    <n v="3"/>
    <s v="ICICI Lombard"/>
    <n v="7"/>
    <n v="171839"/>
    <n v="1350000"/>
    <x v="100"/>
    <s v="no"/>
    <x v="0"/>
  </r>
  <r>
    <n v="1102"/>
    <s v="Ankit Mehta"/>
    <s v="Male"/>
    <n v="28"/>
    <x v="4"/>
    <x v="0"/>
    <x v="0"/>
    <x v="0"/>
    <s v="Amit Patel"/>
    <s v="Central Showroom"/>
    <x v="93"/>
    <s v="Debit Card"/>
    <s v="Kotak Bank"/>
    <s v="Yes"/>
    <n v="5"/>
    <s v="Tata AIG"/>
    <n v="8"/>
    <n v="274381"/>
    <n v="846000"/>
    <x v="101"/>
    <s v="no"/>
    <x v="0"/>
  </r>
  <r>
    <n v="1103"/>
    <s v="Ankit Mehta"/>
    <s v="Female"/>
    <n v="56"/>
    <x v="5"/>
    <x v="0"/>
    <x v="4"/>
    <x v="3"/>
    <s v="Amit Patel"/>
    <s v="Highway Branch"/>
    <x v="2"/>
    <s v="Cash"/>
    <s v="Axis Bank"/>
    <s v="No"/>
    <n v="5"/>
    <s v="ICICI Lombard"/>
    <n v="19"/>
    <n v="209331"/>
    <n v="1224000"/>
    <x v="102"/>
    <s v="no"/>
    <x v="0"/>
  </r>
  <r>
    <n v="1104"/>
    <s v="Suresh Nair"/>
    <s v="Female"/>
    <n v="46"/>
    <x v="5"/>
    <x v="0"/>
    <x v="7"/>
    <x v="0"/>
    <s v="Kunal Mehta"/>
    <s v="Premium Lounge"/>
    <x v="94"/>
    <s v="Bank Loan"/>
    <s v="Axis Bank"/>
    <s v="Yes"/>
    <n v="4"/>
    <s v="ICICI Lombard"/>
    <n v="25"/>
    <n v="193743"/>
    <n v="1224000"/>
    <x v="103"/>
    <s v="no"/>
    <x v="0"/>
  </r>
  <r>
    <n v="1105"/>
    <s v="Mohit Gupta"/>
    <s v="Male"/>
    <n v="59"/>
    <x v="7"/>
    <x v="3"/>
    <x v="5"/>
    <x v="4"/>
    <s v="Kunal Mehta"/>
    <s v="Highway Branch"/>
    <x v="95"/>
    <s v="Bank Loan"/>
    <s v="HDFC Bank"/>
    <s v="Yes"/>
    <n v="5"/>
    <s v="Bajaj Allianz"/>
    <n v="10"/>
    <n v="81867"/>
    <n v="702000"/>
    <x v="104"/>
    <s v="no"/>
    <x v="0"/>
  </r>
  <r>
    <n v="1106"/>
    <s v="Mohit Gupta"/>
    <s v="Male"/>
    <n v="28"/>
    <x v="8"/>
    <x v="3"/>
    <x v="8"/>
    <x v="6"/>
    <s v="Rohit Singh"/>
    <s v="Premium Lounge"/>
    <x v="96"/>
    <s v="UPI"/>
    <s v="HDFC Bank"/>
    <s v="No"/>
    <n v="3"/>
    <s v="Tata AIG"/>
    <n v="24"/>
    <n v="249852"/>
    <n v="936000"/>
    <x v="105"/>
    <s v="no"/>
    <x v="0"/>
  </r>
  <r>
    <n v="1107"/>
    <s v="Sneha Desai"/>
    <s v="Male"/>
    <n v="41"/>
    <x v="8"/>
    <x v="0"/>
    <x v="3"/>
    <x v="2"/>
    <s v="Vivek Sharma"/>
    <s v="Highway Branch"/>
    <x v="97"/>
    <s v="Debit Card"/>
    <s v="SBI"/>
    <s v="No"/>
    <n v="2"/>
    <s v="Bajaj Allianz"/>
    <n v="23"/>
    <n v="149499"/>
    <n v="936000"/>
    <x v="106"/>
    <s v="no"/>
    <x v="0"/>
  </r>
  <r>
    <n v="1108"/>
    <s v="Aman Jain"/>
    <s v="Female"/>
    <n v="53"/>
    <x v="1"/>
    <x v="2"/>
    <x v="9"/>
    <x v="6"/>
    <s v="Amit Patel"/>
    <s v="City Mall Branch"/>
    <x v="98"/>
    <s v="Debit Card"/>
    <s v="Axis Bank"/>
    <s v="No"/>
    <n v="4"/>
    <s v="Tata AIG"/>
    <n v="11"/>
    <n v="122251"/>
    <n v="1764000"/>
    <x v="107"/>
    <s v="yes"/>
    <x v="1"/>
  </r>
  <r>
    <n v="1109"/>
    <s v="Vikas Joshi"/>
    <s v="Female"/>
    <n v="30"/>
    <x v="1"/>
    <x v="2"/>
    <x v="4"/>
    <x v="3"/>
    <s v="Rohit Singh"/>
    <s v="Central Showroom"/>
    <x v="99"/>
    <s v="Cash"/>
    <s v="ICICI Bank"/>
    <s v="Yes"/>
    <n v="3"/>
    <s v="Bajaj Allianz"/>
    <n v="6"/>
    <n v="115371"/>
    <n v="1764000"/>
    <x v="108"/>
    <s v="yes"/>
    <x v="1"/>
  </r>
  <r>
    <n v="1110"/>
    <s v="Sneha Desai"/>
    <s v="Female"/>
    <n v="31"/>
    <x v="8"/>
    <x v="2"/>
    <x v="6"/>
    <x v="5"/>
    <s v="Vivek Sharma"/>
    <s v="Central Showroom"/>
    <x v="100"/>
    <s v="Cash"/>
    <s v="ICICI Bank"/>
    <s v="No"/>
    <n v="5"/>
    <s v="Bajaj Allianz"/>
    <n v="23"/>
    <n v="71674"/>
    <n v="936000"/>
    <x v="109"/>
    <s v="no"/>
    <x v="0"/>
  </r>
  <r>
    <n v="1111"/>
    <s v="Ankit Mehta"/>
    <s v="Male"/>
    <n v="31"/>
    <x v="5"/>
    <x v="2"/>
    <x v="2"/>
    <x v="0"/>
    <s v="Vivek Sharma"/>
    <s v="City Mall Branch"/>
    <x v="101"/>
    <s v="Bank Loan"/>
    <s v="Axis Bank"/>
    <s v="No"/>
    <n v="4"/>
    <s v="Bajaj Allianz"/>
    <n v="19"/>
    <n v="295396"/>
    <n v="1224000"/>
    <x v="110"/>
    <s v="no"/>
    <x v="0"/>
  </r>
  <r>
    <n v="1112"/>
    <s v="Pooja Malhotra"/>
    <s v="Female"/>
    <n v="29"/>
    <x v="7"/>
    <x v="3"/>
    <x v="3"/>
    <x v="2"/>
    <s v="Amit Patel"/>
    <s v="Highway Branch"/>
    <x v="102"/>
    <s v="Credit Card"/>
    <s v="Axis Bank"/>
    <s v="Yes"/>
    <n v="3"/>
    <s v="Bajaj Allianz"/>
    <n v="14"/>
    <n v="260635"/>
    <n v="702000"/>
    <x v="111"/>
    <s v="no"/>
    <x v="3"/>
  </r>
  <r>
    <n v="1113"/>
    <s v="Sneha Desai"/>
    <s v="Male"/>
    <n v="41"/>
    <x v="7"/>
    <x v="3"/>
    <x v="8"/>
    <x v="6"/>
    <s v="Amit Patel"/>
    <s v="Highway Branch"/>
    <x v="5"/>
    <s v="Bank Loan"/>
    <s v="Axis Bank"/>
    <s v="No"/>
    <n v="4"/>
    <s v="ICICI Lombard"/>
    <n v="20"/>
    <n v="143853"/>
    <n v="702000"/>
    <x v="112"/>
    <s v="no"/>
    <x v="3"/>
  </r>
  <r>
    <n v="1114"/>
    <s v="Kavita Shah"/>
    <s v="Male"/>
    <n v="29"/>
    <x v="8"/>
    <x v="3"/>
    <x v="2"/>
    <x v="0"/>
    <s v="Amit Patel"/>
    <s v="City Mall Branch"/>
    <x v="103"/>
    <s v="UPI"/>
    <s v="ICICI Bank"/>
    <s v="Yes"/>
    <n v="2"/>
    <s v="ICICI Lombard"/>
    <n v="15"/>
    <n v="198759"/>
    <n v="936000"/>
    <x v="113"/>
    <s v="no"/>
    <x v="0"/>
  </r>
  <r>
    <n v="1115"/>
    <s v="Riya Kapoor"/>
    <s v="Female"/>
    <n v="59"/>
    <x v="8"/>
    <x v="1"/>
    <x v="0"/>
    <x v="0"/>
    <s v="Rohit Singh"/>
    <s v="Premium Lounge"/>
    <x v="104"/>
    <s v="Bank Loan"/>
    <s v="Axis Bank"/>
    <s v="Yes"/>
    <n v="5"/>
    <s v="Tata AIG"/>
    <n v="7"/>
    <n v="299704"/>
    <n v="936000"/>
    <x v="114"/>
    <s v="no"/>
    <x v="0"/>
  </r>
  <r>
    <n v="1116"/>
    <s v="Sneha Desai"/>
    <s v="Male"/>
    <n v="47"/>
    <x v="5"/>
    <x v="3"/>
    <x v="9"/>
    <x v="6"/>
    <s v="Kunal Mehta"/>
    <s v="Highway Branch"/>
    <x v="105"/>
    <s v="Cash"/>
    <s v="ICICI Bank"/>
    <s v="No"/>
    <n v="2"/>
    <s v="Tata AIG"/>
    <n v="21"/>
    <n v="166083"/>
    <n v="1224000"/>
    <x v="115"/>
    <s v="no"/>
    <x v="0"/>
  </r>
  <r>
    <n v="1117"/>
    <s v="Neha Verma"/>
    <s v="Male"/>
    <n v="33"/>
    <x v="7"/>
    <x v="3"/>
    <x v="1"/>
    <x v="1"/>
    <s v="Rohit Singh"/>
    <s v="Premium Lounge"/>
    <x v="106"/>
    <s v="Credit Card"/>
    <s v="Axis Bank"/>
    <s v="Yes"/>
    <n v="2"/>
    <s v="Tata AIG"/>
    <n v="16"/>
    <n v="91931"/>
    <n v="702000"/>
    <x v="116"/>
    <s v="no"/>
    <x v="0"/>
  </r>
  <r>
    <n v="1118"/>
    <s v="Neha Verma"/>
    <s v="Female"/>
    <n v="35"/>
    <x v="3"/>
    <x v="0"/>
    <x v="3"/>
    <x v="2"/>
    <s v="Suresh Iyer"/>
    <s v="Central Showroom"/>
    <x v="107"/>
    <s v="UPI"/>
    <s v="SBI"/>
    <s v="Yes"/>
    <n v="5"/>
    <s v="HDFC Ergo"/>
    <n v="5"/>
    <n v="80695"/>
    <n v="2250000"/>
    <x v="117"/>
    <s v="no"/>
    <x v="1"/>
  </r>
  <r>
    <n v="1119"/>
    <s v="Neha Verma"/>
    <s v="Male"/>
    <n v="27"/>
    <x v="2"/>
    <x v="3"/>
    <x v="1"/>
    <x v="1"/>
    <s v="Rohit Singh"/>
    <s v="City Mall Branch"/>
    <x v="108"/>
    <s v="Credit Card"/>
    <s v="Axis Bank"/>
    <s v="No"/>
    <n v="4"/>
    <s v="Tata AIG"/>
    <n v="24"/>
    <n v="254092"/>
    <n v="5760000"/>
    <x v="118"/>
    <s v="yes"/>
    <x v="2"/>
  </r>
  <r>
    <n v="1120"/>
    <s v="Pooja Malhotra"/>
    <s v="Female"/>
    <n v="31"/>
    <x v="8"/>
    <x v="0"/>
    <x v="4"/>
    <x v="3"/>
    <s v="Rohit Singh"/>
    <s v="Highway Branch"/>
    <x v="55"/>
    <s v="UPI"/>
    <s v="Axis Bank"/>
    <s v="No"/>
    <n v="3"/>
    <s v="ICICI Lombard"/>
    <n v="20"/>
    <n v="291206"/>
    <n v="936000"/>
    <x v="119"/>
    <s v="no"/>
    <x v="0"/>
  </r>
  <r>
    <n v="1121"/>
    <s v="Suresh Nair"/>
    <s v="Female"/>
    <n v="25"/>
    <x v="2"/>
    <x v="2"/>
    <x v="6"/>
    <x v="5"/>
    <s v="Vivek Sharma"/>
    <s v="Highway Branch"/>
    <x v="109"/>
    <s v="Debit Card"/>
    <s v="SBI"/>
    <s v="Yes"/>
    <n v="2"/>
    <s v="HDFC Ergo"/>
    <n v="19"/>
    <n v="215082"/>
    <n v="5760000"/>
    <x v="120"/>
    <s v="yes"/>
    <x v="2"/>
  </r>
  <r>
    <n v="1122"/>
    <s v="Vikas Joshi"/>
    <s v="Male"/>
    <n v="50"/>
    <x v="2"/>
    <x v="0"/>
    <x v="6"/>
    <x v="5"/>
    <s v="Suresh Iyer"/>
    <s v="Highway Branch"/>
    <x v="110"/>
    <s v="Cash"/>
    <s v="ICICI Bank"/>
    <s v="Yes"/>
    <n v="5"/>
    <s v="HDFC Ergo"/>
    <n v="8"/>
    <n v="259196"/>
    <n v="5760000"/>
    <x v="121"/>
    <s v="yes"/>
    <x v="2"/>
  </r>
  <r>
    <n v="1123"/>
    <s v="Kavita Shah"/>
    <s v="Female"/>
    <n v="26"/>
    <x v="2"/>
    <x v="3"/>
    <x v="3"/>
    <x v="2"/>
    <s v="Amit Patel"/>
    <s v="Highway Branch"/>
    <x v="29"/>
    <s v="Credit Card"/>
    <s v="SBI"/>
    <s v="Yes"/>
    <n v="5"/>
    <s v="Tata AIG"/>
    <n v="24"/>
    <n v="66037"/>
    <n v="5760000"/>
    <x v="122"/>
    <s v="yes"/>
    <x v="2"/>
  </r>
  <r>
    <n v="1124"/>
    <s v="Mohit Gupta"/>
    <s v="Female"/>
    <n v="44"/>
    <x v="2"/>
    <x v="3"/>
    <x v="2"/>
    <x v="0"/>
    <s v="Amit Patel"/>
    <s v="Premium Lounge"/>
    <x v="111"/>
    <s v="Debit Card"/>
    <s v="SBI"/>
    <s v="No"/>
    <n v="4"/>
    <s v="Tata AIG"/>
    <n v="21"/>
    <n v="183254"/>
    <n v="5760000"/>
    <x v="123"/>
    <s v="yes"/>
    <x v="2"/>
  </r>
  <r>
    <n v="1125"/>
    <s v="Rohit Kumar"/>
    <s v="Female"/>
    <n v="49"/>
    <x v="8"/>
    <x v="1"/>
    <x v="0"/>
    <x v="0"/>
    <s v="Amit Patel"/>
    <s v="Premium Lounge"/>
    <x v="112"/>
    <s v="Cash"/>
    <s v="HDFC Bank"/>
    <s v="No"/>
    <n v="4"/>
    <s v="HDFC Ergo"/>
    <n v="21"/>
    <n v="171942"/>
    <n v="936000"/>
    <x v="124"/>
    <s v="no"/>
    <x v="0"/>
  </r>
  <r>
    <n v="1126"/>
    <s v="Sneha Desai"/>
    <s v="Male"/>
    <n v="29"/>
    <x v="5"/>
    <x v="2"/>
    <x v="4"/>
    <x v="3"/>
    <s v="Rohit Singh"/>
    <s v="Central Showroom"/>
    <x v="113"/>
    <s v="Debit Card"/>
    <s v="ICICI Bank"/>
    <s v="No"/>
    <n v="2"/>
    <s v="HDFC Ergo"/>
    <n v="7"/>
    <n v="189811"/>
    <n v="1224000"/>
    <x v="125"/>
    <s v="no"/>
    <x v="0"/>
  </r>
  <r>
    <n v="1127"/>
    <s v="Aman Jain"/>
    <s v="Male"/>
    <n v="38"/>
    <x v="3"/>
    <x v="3"/>
    <x v="8"/>
    <x v="6"/>
    <s v="Vivek Sharma"/>
    <s v="City Mall Branch"/>
    <x v="114"/>
    <s v="Credit Card"/>
    <s v="SBI"/>
    <s v="No"/>
    <n v="2"/>
    <s v="Tata AIG"/>
    <n v="12"/>
    <n v="53045"/>
    <n v="2250000"/>
    <x v="126"/>
    <s v="no"/>
    <x v="1"/>
  </r>
  <r>
    <n v="1128"/>
    <s v="Mohit Gupta"/>
    <s v="Female"/>
    <n v="48"/>
    <x v="7"/>
    <x v="2"/>
    <x v="4"/>
    <x v="3"/>
    <s v="Amit Patel"/>
    <s v="Central Showroom"/>
    <x v="115"/>
    <s v="Credit Card"/>
    <s v="ICICI Bank"/>
    <s v="Yes"/>
    <n v="5"/>
    <s v="Bajaj Allianz"/>
    <n v="14"/>
    <n v="199318"/>
    <n v="702000"/>
    <x v="127"/>
    <s v="no"/>
    <x v="3"/>
  </r>
  <r>
    <n v="1129"/>
    <s v="Suresh Nair"/>
    <s v="Male"/>
    <n v="43"/>
    <x v="1"/>
    <x v="0"/>
    <x v="1"/>
    <x v="1"/>
    <s v="Rohit Singh"/>
    <s v="Highway Branch"/>
    <x v="116"/>
    <s v="Bank Loan"/>
    <s v="Axis Bank"/>
    <s v="Yes"/>
    <n v="5"/>
    <s v="Tata AIG"/>
    <n v="13"/>
    <n v="88162"/>
    <n v="1764000"/>
    <x v="128"/>
    <s v="yes"/>
    <x v="1"/>
  </r>
  <r>
    <n v="1130"/>
    <s v="Aman Jain"/>
    <s v="Male"/>
    <n v="25"/>
    <x v="6"/>
    <x v="1"/>
    <x v="4"/>
    <x v="3"/>
    <s v="Kunal Mehta"/>
    <s v="Premium Lounge"/>
    <x v="55"/>
    <s v="Bank Loan"/>
    <s v="SBI"/>
    <s v="Yes"/>
    <n v="3"/>
    <s v="HDFC Ergo"/>
    <n v="23"/>
    <n v="297073"/>
    <n v="1098000"/>
    <x v="129"/>
    <s v="no"/>
    <x v="0"/>
  </r>
  <r>
    <n v="1131"/>
    <s v="Riya Kapoor"/>
    <s v="Female"/>
    <n v="48"/>
    <x v="9"/>
    <x v="1"/>
    <x v="2"/>
    <x v="0"/>
    <s v="Amit Patel"/>
    <s v="City Mall Branch"/>
    <x v="117"/>
    <s v="Bank Loan"/>
    <s v="Axis Bank"/>
    <s v="Yes"/>
    <n v="5"/>
    <s v="Tata AIG"/>
    <n v="14"/>
    <n v="114399"/>
    <n v="1350000"/>
    <x v="130"/>
    <s v="no"/>
    <x v="0"/>
  </r>
  <r>
    <n v="1132"/>
    <s v="Vikas Joshi"/>
    <s v="Male"/>
    <n v="60"/>
    <x v="1"/>
    <x v="0"/>
    <x v="8"/>
    <x v="6"/>
    <s v="Suresh Iyer"/>
    <s v="Premium Lounge"/>
    <x v="118"/>
    <s v="Bank Loan"/>
    <s v="SBI"/>
    <s v="Yes"/>
    <n v="4"/>
    <s v="ICICI Lombard"/>
    <n v="25"/>
    <n v="126741"/>
    <n v="1764000"/>
    <x v="131"/>
    <s v="yes"/>
    <x v="1"/>
  </r>
  <r>
    <n v="1133"/>
    <s v="Ankit Mehta"/>
    <s v="Male"/>
    <n v="38"/>
    <x v="9"/>
    <x v="0"/>
    <x v="3"/>
    <x v="2"/>
    <s v="Amit Patel"/>
    <s v="Central Showroom"/>
    <x v="114"/>
    <s v="UPI"/>
    <s v="HDFC Bank"/>
    <s v="Yes"/>
    <n v="3"/>
    <s v="Tata AIG"/>
    <n v="9"/>
    <n v="230820"/>
    <n v="1350000"/>
    <x v="132"/>
    <s v="no"/>
    <x v="0"/>
  </r>
  <r>
    <n v="1134"/>
    <s v="Pooja Malhotra"/>
    <s v="Male"/>
    <n v="25"/>
    <x v="7"/>
    <x v="3"/>
    <x v="3"/>
    <x v="2"/>
    <s v="Suresh Iyer"/>
    <s v="Highway Branch"/>
    <x v="119"/>
    <s v="Cash"/>
    <s v="Axis Bank"/>
    <s v="No"/>
    <n v="3"/>
    <s v="Bajaj Allianz"/>
    <n v="25"/>
    <n v="294261"/>
    <n v="702000"/>
    <x v="133"/>
    <s v="no"/>
    <x v="3"/>
  </r>
  <r>
    <n v="1135"/>
    <s v="Mohit Gupta"/>
    <s v="Male"/>
    <n v="52"/>
    <x v="6"/>
    <x v="3"/>
    <x v="3"/>
    <x v="2"/>
    <s v="Rohit Singh"/>
    <s v="Premium Lounge"/>
    <x v="120"/>
    <s v="Cash"/>
    <s v="Kotak Bank"/>
    <s v="Yes"/>
    <n v="5"/>
    <s v="Bajaj Allianz"/>
    <n v="22"/>
    <n v="249659"/>
    <n v="1098000"/>
    <x v="134"/>
    <s v="no"/>
    <x v="0"/>
  </r>
  <r>
    <n v="1136"/>
    <s v="Kavita Shah"/>
    <s v="Male"/>
    <n v="33"/>
    <x v="5"/>
    <x v="0"/>
    <x v="2"/>
    <x v="0"/>
    <s v="Vivek Sharma"/>
    <s v="Central Showroom"/>
    <x v="55"/>
    <s v="Bank Loan"/>
    <s v="SBI"/>
    <s v="Yes"/>
    <n v="5"/>
    <s v="ICICI Lombard"/>
    <n v="20"/>
    <n v="168730"/>
    <n v="1224000"/>
    <x v="135"/>
    <s v="no"/>
    <x v="0"/>
  </r>
  <r>
    <n v="1137"/>
    <s v="Rohit Kumar"/>
    <s v="Male"/>
    <n v="52"/>
    <x v="4"/>
    <x v="2"/>
    <x v="8"/>
    <x v="6"/>
    <s v="Vivek Sharma"/>
    <s v="Central Showroom"/>
    <x v="26"/>
    <s v="UPI"/>
    <s v="Axis Bank"/>
    <s v="Yes"/>
    <n v="3"/>
    <s v="ICICI Lombard"/>
    <n v="5"/>
    <n v="168408"/>
    <n v="846000"/>
    <x v="136"/>
    <s v="no"/>
    <x v="0"/>
  </r>
  <r>
    <n v="1138"/>
    <s v="Suresh Nair"/>
    <s v="Female"/>
    <n v="25"/>
    <x v="9"/>
    <x v="0"/>
    <x v="8"/>
    <x v="6"/>
    <s v="Vivek Sharma"/>
    <s v="Highway Branch"/>
    <x v="121"/>
    <s v="UPI"/>
    <s v="Kotak Bank"/>
    <s v="Yes"/>
    <n v="3"/>
    <s v="HDFC Ergo"/>
    <n v="14"/>
    <n v="258088"/>
    <n v="1350000"/>
    <x v="137"/>
    <s v="no"/>
    <x v="0"/>
  </r>
  <r>
    <n v="1139"/>
    <s v="Neha Verma"/>
    <s v="Male"/>
    <n v="39"/>
    <x v="7"/>
    <x v="0"/>
    <x v="1"/>
    <x v="1"/>
    <s v="Vivek Sharma"/>
    <s v="Premium Lounge"/>
    <x v="122"/>
    <s v="Cash"/>
    <s v="Kotak Bank"/>
    <s v="No"/>
    <n v="4"/>
    <s v="ICICI Lombard"/>
    <n v="5"/>
    <n v="221031"/>
    <n v="702000"/>
    <x v="138"/>
    <s v="no"/>
    <x v="3"/>
  </r>
  <r>
    <n v="1140"/>
    <s v="Priya Shah"/>
    <s v="Female"/>
    <n v="26"/>
    <x v="5"/>
    <x v="3"/>
    <x v="8"/>
    <x v="6"/>
    <s v="Suresh Iyer"/>
    <s v="Highway Branch"/>
    <x v="123"/>
    <s v="Bank Loan"/>
    <s v="SBI"/>
    <s v="No"/>
    <n v="2"/>
    <s v="Bajaj Allianz"/>
    <n v="23"/>
    <n v="183942"/>
    <n v="1224000"/>
    <x v="139"/>
    <s v="no"/>
    <x v="0"/>
  </r>
  <r>
    <n v="1141"/>
    <s v="Aman Jain"/>
    <s v="Male"/>
    <n v="32"/>
    <x v="6"/>
    <x v="1"/>
    <x v="9"/>
    <x v="6"/>
    <s v="Rohit Singh"/>
    <s v="Premium Lounge"/>
    <x v="124"/>
    <s v="Credit Card"/>
    <s v="HDFC Bank"/>
    <s v="Yes"/>
    <n v="4"/>
    <s v="Bajaj Allianz"/>
    <n v="25"/>
    <n v="207969"/>
    <n v="1098000"/>
    <x v="140"/>
    <s v="no"/>
    <x v="0"/>
  </r>
  <r>
    <n v="1142"/>
    <s v="Kavita Shah"/>
    <s v="Female"/>
    <n v="35"/>
    <x v="8"/>
    <x v="3"/>
    <x v="5"/>
    <x v="4"/>
    <s v="Vivek Sharma"/>
    <s v="Central Showroom"/>
    <x v="125"/>
    <s v="Debit Card"/>
    <s v="ICICI Bank"/>
    <s v="No"/>
    <n v="2"/>
    <s v="HDFC Ergo"/>
    <n v="6"/>
    <n v="103081"/>
    <n v="936000"/>
    <x v="141"/>
    <s v="no"/>
    <x v="0"/>
  </r>
  <r>
    <n v="1143"/>
    <s v="Kavita Shah"/>
    <s v="Female"/>
    <n v="49"/>
    <x v="1"/>
    <x v="3"/>
    <x v="7"/>
    <x v="0"/>
    <s v="Kunal Mehta"/>
    <s v="Highway Branch"/>
    <x v="126"/>
    <s v="UPI"/>
    <s v="SBI"/>
    <s v="Yes"/>
    <n v="2"/>
    <s v="Tata AIG"/>
    <n v="10"/>
    <n v="250893"/>
    <n v="1764000"/>
    <x v="142"/>
    <s v="yes"/>
    <x v="1"/>
  </r>
  <r>
    <n v="1144"/>
    <s v="Kavita Shah"/>
    <s v="Male"/>
    <n v="43"/>
    <x v="4"/>
    <x v="3"/>
    <x v="1"/>
    <x v="1"/>
    <s v="Kunal Mehta"/>
    <s v="City Mall Branch"/>
    <x v="127"/>
    <s v="Debit Card"/>
    <s v="SBI"/>
    <s v="Yes"/>
    <n v="3"/>
    <s v="HDFC Ergo"/>
    <n v="18"/>
    <n v="60272"/>
    <n v="846000"/>
    <x v="143"/>
    <s v="no"/>
    <x v="0"/>
  </r>
  <r>
    <n v="1145"/>
    <s v="Sneha Desai"/>
    <s v="Female"/>
    <n v="49"/>
    <x v="7"/>
    <x v="1"/>
    <x v="9"/>
    <x v="6"/>
    <s v="Rohit Singh"/>
    <s v="Premium Lounge"/>
    <x v="128"/>
    <s v="Credit Card"/>
    <s v="HDFC Bank"/>
    <s v="Yes"/>
    <n v="5"/>
    <s v="Bajaj Allianz"/>
    <n v="22"/>
    <n v="222475"/>
    <n v="702000"/>
    <x v="144"/>
    <s v="no"/>
    <x v="3"/>
  </r>
  <r>
    <n v="1146"/>
    <s v="Priya Shah"/>
    <s v="Male"/>
    <n v="31"/>
    <x v="4"/>
    <x v="2"/>
    <x v="5"/>
    <x v="4"/>
    <s v="Suresh Iyer"/>
    <s v="Premium Lounge"/>
    <x v="129"/>
    <s v="Bank Loan"/>
    <s v="Axis Bank"/>
    <s v="Yes"/>
    <n v="2"/>
    <s v="Tata AIG"/>
    <n v="7"/>
    <n v="52067"/>
    <n v="846000"/>
    <x v="145"/>
    <s v="no"/>
    <x v="0"/>
  </r>
  <r>
    <n v="1147"/>
    <s v="Pooja Malhotra"/>
    <s v="Male"/>
    <n v="52"/>
    <x v="3"/>
    <x v="0"/>
    <x v="1"/>
    <x v="1"/>
    <s v="Rohit Singh"/>
    <s v="Highway Branch"/>
    <x v="130"/>
    <s v="Credit Card"/>
    <s v="Kotak Bank"/>
    <s v="No"/>
    <n v="5"/>
    <s v="HDFC Ergo"/>
    <n v="24"/>
    <n v="216817"/>
    <n v="2250000"/>
    <x v="146"/>
    <s v="no"/>
    <x v="1"/>
  </r>
  <r>
    <n v="1148"/>
    <s v="Kavita Shah"/>
    <s v="Female"/>
    <n v="50"/>
    <x v="3"/>
    <x v="1"/>
    <x v="9"/>
    <x v="6"/>
    <s v="Kunal Mehta"/>
    <s v="Highway Branch"/>
    <x v="101"/>
    <s v="UPI"/>
    <s v="Axis Bank"/>
    <s v="No"/>
    <n v="2"/>
    <s v="Tata AIG"/>
    <n v="9"/>
    <n v="62973"/>
    <n v="2250000"/>
    <x v="147"/>
    <s v="no"/>
    <x v="1"/>
  </r>
  <r>
    <n v="1149"/>
    <s v="Vikas Joshi"/>
    <s v="Female"/>
    <n v="28"/>
    <x v="6"/>
    <x v="0"/>
    <x v="0"/>
    <x v="0"/>
    <s v="Vivek Sharma"/>
    <s v="Premium Lounge"/>
    <x v="131"/>
    <s v="Cash"/>
    <s v="Axis Bank"/>
    <s v="No"/>
    <n v="4"/>
    <s v="HDFC Ergo"/>
    <n v="11"/>
    <n v="98842"/>
    <n v="1098000"/>
    <x v="148"/>
    <s v="no"/>
    <x v="0"/>
  </r>
  <r>
    <n v="1150"/>
    <s v="Priya Shah"/>
    <s v="Male"/>
    <n v="56"/>
    <x v="9"/>
    <x v="1"/>
    <x v="0"/>
    <x v="0"/>
    <s v="Vivek Sharma"/>
    <s v="Central Showroom"/>
    <x v="132"/>
    <s v="Credit Card"/>
    <s v="SBI"/>
    <s v="Yes"/>
    <n v="2"/>
    <s v="Tata AIG"/>
    <n v="8"/>
    <n v="249716"/>
    <n v="1350000"/>
    <x v="149"/>
    <s v="no"/>
    <x v="0"/>
  </r>
  <r>
    <n v="1151"/>
    <s v="Riya Kapoor"/>
    <s v="Male"/>
    <n v="42"/>
    <x v="9"/>
    <x v="0"/>
    <x v="1"/>
    <x v="1"/>
    <s v="Amit Patel"/>
    <s v="Central Showroom"/>
    <x v="133"/>
    <s v="UPI"/>
    <s v="ICICI Bank"/>
    <s v="No"/>
    <n v="5"/>
    <s v="HDFC Ergo"/>
    <n v="15"/>
    <n v="281887"/>
    <n v="1350000"/>
    <x v="150"/>
    <s v="no"/>
    <x v="0"/>
  </r>
  <r>
    <n v="1152"/>
    <s v="Riya Kapoor"/>
    <s v="Female"/>
    <n v="59"/>
    <x v="9"/>
    <x v="0"/>
    <x v="3"/>
    <x v="2"/>
    <s v="Vivek Sharma"/>
    <s v="Highway Branch"/>
    <x v="17"/>
    <s v="Credit Card"/>
    <s v="HDFC Bank"/>
    <s v="Yes"/>
    <n v="4"/>
    <s v="ICICI Lombard"/>
    <n v="17"/>
    <n v="265981"/>
    <n v="1350000"/>
    <x v="151"/>
    <s v="no"/>
    <x v="0"/>
  </r>
  <r>
    <n v="1153"/>
    <s v="Riya Kapoor"/>
    <s v="Male"/>
    <n v="44"/>
    <x v="4"/>
    <x v="1"/>
    <x v="8"/>
    <x v="6"/>
    <s v="Vivek Sharma"/>
    <s v="City Mall Branch"/>
    <x v="134"/>
    <s v="Cash"/>
    <s v="HDFC Bank"/>
    <s v="Yes"/>
    <n v="4"/>
    <s v="Tata AIG"/>
    <n v="10"/>
    <n v="80414"/>
    <n v="846000"/>
    <x v="152"/>
    <s v="no"/>
    <x v="0"/>
  </r>
  <r>
    <n v="1154"/>
    <s v="Rohit Kumar"/>
    <s v="Male"/>
    <n v="39"/>
    <x v="7"/>
    <x v="1"/>
    <x v="8"/>
    <x v="6"/>
    <s v="Kunal Mehta"/>
    <s v="City Mall Branch"/>
    <x v="135"/>
    <s v="Credit Card"/>
    <s v="Axis Bank"/>
    <s v="Yes"/>
    <n v="4"/>
    <s v="Tata AIG"/>
    <n v="13"/>
    <n v="173787"/>
    <n v="702000"/>
    <x v="153"/>
    <s v="no"/>
    <x v="3"/>
  </r>
  <r>
    <n v="1155"/>
    <s v="Priya Shah"/>
    <s v="Female"/>
    <n v="37"/>
    <x v="2"/>
    <x v="0"/>
    <x v="5"/>
    <x v="4"/>
    <s v="Amit Patel"/>
    <s v="Central Showroom"/>
    <x v="136"/>
    <s v="UPI"/>
    <s v="Kotak Bank"/>
    <s v="Yes"/>
    <n v="2"/>
    <s v="Tata AIG"/>
    <n v="20"/>
    <n v="110905"/>
    <n v="5760000"/>
    <x v="154"/>
    <s v="yes"/>
    <x v="2"/>
  </r>
  <r>
    <n v="1156"/>
    <s v="Mohit Gupta"/>
    <s v="Female"/>
    <n v="50"/>
    <x v="8"/>
    <x v="0"/>
    <x v="0"/>
    <x v="0"/>
    <s v="Rohit Singh"/>
    <s v="Premium Lounge"/>
    <x v="137"/>
    <s v="Credit Card"/>
    <s v="HDFC Bank"/>
    <s v="No"/>
    <n v="2"/>
    <s v="Tata AIG"/>
    <n v="9"/>
    <n v="169630"/>
    <n v="936000"/>
    <x v="155"/>
    <s v="no"/>
    <x v="0"/>
  </r>
  <r>
    <n v="1157"/>
    <s v="Rahul Sharma"/>
    <s v="Female"/>
    <n v="29"/>
    <x v="9"/>
    <x v="1"/>
    <x v="3"/>
    <x v="2"/>
    <s v="Kunal Mehta"/>
    <s v="Highway Branch"/>
    <x v="138"/>
    <s v="Debit Card"/>
    <s v="Axis Bank"/>
    <s v="No"/>
    <n v="4"/>
    <s v="Tata AIG"/>
    <n v="6"/>
    <n v="99369"/>
    <n v="1350000"/>
    <x v="156"/>
    <s v="no"/>
    <x v="0"/>
  </r>
  <r>
    <n v="1158"/>
    <s v="Harsh Patel"/>
    <s v="Male"/>
    <n v="32"/>
    <x v="3"/>
    <x v="1"/>
    <x v="5"/>
    <x v="4"/>
    <s v="Vivek Sharma"/>
    <s v="City Mall Branch"/>
    <x v="139"/>
    <s v="UPI"/>
    <s v="Kotak Bank"/>
    <s v="No"/>
    <n v="2"/>
    <s v="Bajaj Allianz"/>
    <n v="22"/>
    <n v="73117"/>
    <n v="2250000"/>
    <x v="157"/>
    <s v="no"/>
    <x v="1"/>
  </r>
  <r>
    <n v="1159"/>
    <s v="Priya Shah"/>
    <s v="Male"/>
    <n v="36"/>
    <x v="4"/>
    <x v="0"/>
    <x v="4"/>
    <x v="3"/>
    <s v="Amit Patel"/>
    <s v="Premium Lounge"/>
    <x v="20"/>
    <s v="Debit Card"/>
    <s v="SBI"/>
    <s v="Yes"/>
    <n v="5"/>
    <s v="Bajaj Allianz"/>
    <n v="13"/>
    <n v="189095"/>
    <n v="846000"/>
    <x v="158"/>
    <s v="no"/>
    <x v="0"/>
  </r>
  <r>
    <n v="1160"/>
    <s v="Pooja Malhotra"/>
    <s v="Female"/>
    <n v="47"/>
    <x v="5"/>
    <x v="1"/>
    <x v="5"/>
    <x v="4"/>
    <s v="Kunal Mehta"/>
    <s v="Central Showroom"/>
    <x v="140"/>
    <s v="Credit Card"/>
    <s v="HDFC Bank"/>
    <s v="Yes"/>
    <n v="3"/>
    <s v="Bajaj Allianz"/>
    <n v="17"/>
    <n v="195142"/>
    <n v="1224000"/>
    <x v="159"/>
    <s v="no"/>
    <x v="0"/>
  </r>
  <r>
    <n v="1161"/>
    <s v="Kavita Shah"/>
    <s v="Male"/>
    <n v="60"/>
    <x v="2"/>
    <x v="3"/>
    <x v="1"/>
    <x v="1"/>
    <s v="Vivek Sharma"/>
    <s v="Central Showroom"/>
    <x v="141"/>
    <s v="Cash"/>
    <s v="Kotak Bank"/>
    <s v="Yes"/>
    <n v="2"/>
    <s v="Tata AIG"/>
    <n v="7"/>
    <n v="290342"/>
    <n v="5760000"/>
    <x v="160"/>
    <s v="yes"/>
    <x v="2"/>
  </r>
  <r>
    <n v="1162"/>
    <s v="Suresh Nair"/>
    <s v="Male"/>
    <n v="36"/>
    <x v="2"/>
    <x v="1"/>
    <x v="8"/>
    <x v="6"/>
    <s v="Suresh Iyer"/>
    <s v="Central Showroom"/>
    <x v="142"/>
    <s v="Cash"/>
    <s v="Axis Bank"/>
    <s v="No"/>
    <n v="3"/>
    <s v="Bajaj Allianz"/>
    <n v="9"/>
    <n v="66352"/>
    <n v="5760000"/>
    <x v="161"/>
    <s v="yes"/>
    <x v="2"/>
  </r>
  <r>
    <n v="1163"/>
    <s v="Rohit Kumar"/>
    <s v="Female"/>
    <n v="32"/>
    <x v="9"/>
    <x v="2"/>
    <x v="4"/>
    <x v="3"/>
    <s v="Kunal Mehta"/>
    <s v="Premium Lounge"/>
    <x v="143"/>
    <s v="Cash"/>
    <s v="Axis Bank"/>
    <s v="No"/>
    <n v="3"/>
    <s v="HDFC Ergo"/>
    <n v="25"/>
    <n v="220770"/>
    <n v="1350000"/>
    <x v="162"/>
    <s v="no"/>
    <x v="0"/>
  </r>
  <r>
    <n v="1164"/>
    <s v="Aman Jain"/>
    <s v="Male"/>
    <n v="26"/>
    <x v="5"/>
    <x v="2"/>
    <x v="4"/>
    <x v="3"/>
    <s v="Suresh Iyer"/>
    <s v="City Mall Branch"/>
    <x v="32"/>
    <s v="UPI"/>
    <s v="HDFC Bank"/>
    <s v="Yes"/>
    <n v="5"/>
    <s v="Tata AIG"/>
    <n v="11"/>
    <n v="258450"/>
    <n v="1224000"/>
    <x v="163"/>
    <s v="no"/>
    <x v="0"/>
  </r>
  <r>
    <n v="1165"/>
    <s v="Kavita Shah"/>
    <s v="Female"/>
    <n v="34"/>
    <x v="5"/>
    <x v="0"/>
    <x v="5"/>
    <x v="4"/>
    <s v="Kunal Mehta"/>
    <s v="Highway Branch"/>
    <x v="144"/>
    <s v="Bank Loan"/>
    <s v="SBI"/>
    <s v="Yes"/>
    <n v="4"/>
    <s v="Bajaj Allianz"/>
    <n v="10"/>
    <n v="178085"/>
    <n v="1224000"/>
    <x v="164"/>
    <s v="no"/>
    <x v="0"/>
  </r>
  <r>
    <n v="1166"/>
    <s v="Kavita Shah"/>
    <s v="Male"/>
    <n v="43"/>
    <x v="6"/>
    <x v="3"/>
    <x v="5"/>
    <x v="4"/>
    <s v="Suresh Iyer"/>
    <s v="Highway Branch"/>
    <x v="145"/>
    <s v="Bank Loan"/>
    <s v="HDFC Bank"/>
    <s v="No"/>
    <n v="4"/>
    <s v="Tata AIG"/>
    <n v="23"/>
    <n v="60017"/>
    <n v="1098000"/>
    <x v="165"/>
    <s v="no"/>
    <x v="0"/>
  </r>
  <r>
    <n v="1167"/>
    <s v="Sneha Desai"/>
    <s v="Male"/>
    <n v="39"/>
    <x v="6"/>
    <x v="0"/>
    <x v="1"/>
    <x v="1"/>
    <s v="Amit Patel"/>
    <s v="Highway Branch"/>
    <x v="146"/>
    <s v="Debit Card"/>
    <s v="SBI"/>
    <s v="No"/>
    <n v="2"/>
    <s v="Tata AIG"/>
    <n v="16"/>
    <n v="61660"/>
    <n v="1098000"/>
    <x v="166"/>
    <s v="no"/>
    <x v="0"/>
  </r>
  <r>
    <n v="1168"/>
    <s v="Aman Jain"/>
    <s v="Female"/>
    <n v="25"/>
    <x v="3"/>
    <x v="2"/>
    <x v="9"/>
    <x v="6"/>
    <s v="Rohit Singh"/>
    <s v="Premium Lounge"/>
    <x v="147"/>
    <s v="Credit Card"/>
    <s v="HDFC Bank"/>
    <s v="Yes"/>
    <n v="4"/>
    <s v="ICICI Lombard"/>
    <n v="7"/>
    <n v="180293"/>
    <n v="2250000"/>
    <x v="167"/>
    <s v="no"/>
    <x v="1"/>
  </r>
  <r>
    <n v="1169"/>
    <s v="Riya Kapoor"/>
    <s v="Male"/>
    <n v="49"/>
    <x v="5"/>
    <x v="3"/>
    <x v="0"/>
    <x v="0"/>
    <s v="Suresh Iyer"/>
    <s v="Highway Branch"/>
    <x v="148"/>
    <s v="UPI"/>
    <s v="SBI"/>
    <s v="No"/>
    <n v="4"/>
    <s v="Tata AIG"/>
    <n v="17"/>
    <n v="211101"/>
    <n v="1224000"/>
    <x v="168"/>
    <s v="no"/>
    <x v="0"/>
  </r>
  <r>
    <n v="1170"/>
    <s v="Ankit Mehta"/>
    <s v="Female"/>
    <n v="41"/>
    <x v="3"/>
    <x v="0"/>
    <x v="7"/>
    <x v="0"/>
    <s v="Amit Patel"/>
    <s v="Central Showroom"/>
    <x v="66"/>
    <s v="Credit Card"/>
    <s v="Kotak Bank"/>
    <s v="Yes"/>
    <n v="3"/>
    <s v="HDFC Ergo"/>
    <n v="21"/>
    <n v="153025"/>
    <n v="2250000"/>
    <x v="169"/>
    <s v="no"/>
    <x v="1"/>
  </r>
  <r>
    <n v="1171"/>
    <s v="Harsh Patel"/>
    <s v="Male"/>
    <n v="49"/>
    <x v="9"/>
    <x v="2"/>
    <x v="1"/>
    <x v="1"/>
    <s v="Rohit Singh"/>
    <s v="Central Showroom"/>
    <x v="149"/>
    <s v="UPI"/>
    <s v="ICICI Bank"/>
    <s v="Yes"/>
    <n v="5"/>
    <s v="Tata AIG"/>
    <n v="16"/>
    <n v="287025"/>
    <n v="1350000"/>
    <x v="170"/>
    <s v="no"/>
    <x v="0"/>
  </r>
  <r>
    <n v="1172"/>
    <s v="Suresh Nair"/>
    <s v="Female"/>
    <n v="51"/>
    <x v="1"/>
    <x v="0"/>
    <x v="1"/>
    <x v="1"/>
    <s v="Amit Patel"/>
    <s v="Premium Lounge"/>
    <x v="150"/>
    <s v="Credit Card"/>
    <s v="ICICI Bank"/>
    <s v="No"/>
    <n v="3"/>
    <s v="Tata AIG"/>
    <n v="17"/>
    <n v="92549"/>
    <n v="1764000"/>
    <x v="171"/>
    <s v="yes"/>
    <x v="1"/>
  </r>
  <r>
    <n v="1173"/>
    <s v="Aman Jain"/>
    <s v="Female"/>
    <n v="39"/>
    <x v="6"/>
    <x v="3"/>
    <x v="5"/>
    <x v="4"/>
    <s v="Vivek Sharma"/>
    <s v="Highway Branch"/>
    <x v="151"/>
    <s v="Debit Card"/>
    <s v="HDFC Bank"/>
    <s v="Yes"/>
    <n v="5"/>
    <s v="Tata AIG"/>
    <n v="25"/>
    <n v="285743"/>
    <n v="1098000"/>
    <x v="172"/>
    <s v="no"/>
    <x v="0"/>
  </r>
  <r>
    <n v="1174"/>
    <s v="Priya Shah"/>
    <s v="Female"/>
    <n v="29"/>
    <x v="6"/>
    <x v="3"/>
    <x v="9"/>
    <x v="6"/>
    <s v="Amit Patel"/>
    <s v="Highway Branch"/>
    <x v="152"/>
    <s v="Debit Card"/>
    <s v="Axis Bank"/>
    <s v="No"/>
    <n v="3"/>
    <s v="HDFC Ergo"/>
    <n v="6"/>
    <n v="69079"/>
    <n v="1098000"/>
    <x v="173"/>
    <s v="no"/>
    <x v="0"/>
  </r>
  <r>
    <n v="1175"/>
    <s v="Suresh Nair"/>
    <s v="Male"/>
    <n v="32"/>
    <x v="7"/>
    <x v="1"/>
    <x v="2"/>
    <x v="0"/>
    <s v="Vivek Sharma"/>
    <s v="Premium Lounge"/>
    <x v="153"/>
    <s v="Bank Loan"/>
    <s v="SBI"/>
    <s v="Yes"/>
    <n v="5"/>
    <s v="ICICI Lombard"/>
    <n v="9"/>
    <n v="167241"/>
    <n v="702000"/>
    <x v="174"/>
    <s v="no"/>
    <x v="3"/>
  </r>
  <r>
    <n v="1176"/>
    <s v="Rahul Sharma"/>
    <s v="Female"/>
    <n v="25"/>
    <x v="4"/>
    <x v="1"/>
    <x v="8"/>
    <x v="6"/>
    <s v="Kunal Mehta"/>
    <s v="Premium Lounge"/>
    <x v="154"/>
    <s v="Cash"/>
    <s v="Kotak Bank"/>
    <s v="No"/>
    <n v="5"/>
    <s v="ICICI Lombard"/>
    <n v="24"/>
    <n v="180382"/>
    <n v="846000"/>
    <x v="175"/>
    <s v="no"/>
    <x v="0"/>
  </r>
  <r>
    <n v="1177"/>
    <s v="Harsh Patel"/>
    <s v="Female"/>
    <n v="30"/>
    <x v="0"/>
    <x v="3"/>
    <x v="3"/>
    <x v="2"/>
    <s v="Kunal Mehta"/>
    <s v="Premium Lounge"/>
    <x v="155"/>
    <s v="Debit Card"/>
    <s v="Axis Bank"/>
    <s v="Yes"/>
    <n v="5"/>
    <s v="Tata AIG"/>
    <n v="20"/>
    <n v="119292"/>
    <n v="756000"/>
    <x v="176"/>
    <s v="no"/>
    <x v="0"/>
  </r>
  <r>
    <n v="1178"/>
    <s v="Pooja Malhotra"/>
    <s v="Male"/>
    <n v="43"/>
    <x v="0"/>
    <x v="0"/>
    <x v="0"/>
    <x v="0"/>
    <s v="Suresh Iyer"/>
    <s v="Highway Branch"/>
    <x v="156"/>
    <s v="Debit Card"/>
    <s v="SBI"/>
    <s v="Yes"/>
    <n v="5"/>
    <s v="Bajaj Allianz"/>
    <n v="11"/>
    <n v="61440"/>
    <n v="756000"/>
    <x v="177"/>
    <s v="no"/>
    <x v="0"/>
  </r>
  <r>
    <n v="1179"/>
    <s v="Nitin Agarwal"/>
    <s v="Male"/>
    <n v="32"/>
    <x v="8"/>
    <x v="3"/>
    <x v="0"/>
    <x v="0"/>
    <s v="Kunal Mehta"/>
    <s v="Highway Branch"/>
    <x v="157"/>
    <s v="UPI"/>
    <s v="HDFC Bank"/>
    <s v="No"/>
    <n v="5"/>
    <s v="ICICI Lombard"/>
    <n v="18"/>
    <n v="121922"/>
    <n v="936000"/>
    <x v="178"/>
    <s v="no"/>
    <x v="0"/>
  </r>
  <r>
    <n v="1180"/>
    <s v="Ankit Mehta"/>
    <s v="Female"/>
    <n v="49"/>
    <x v="2"/>
    <x v="0"/>
    <x v="9"/>
    <x v="6"/>
    <s v="Kunal Mehta"/>
    <s v="Premium Lounge"/>
    <x v="158"/>
    <s v="Debit Card"/>
    <s v="Kotak Bank"/>
    <s v="Yes"/>
    <n v="2"/>
    <s v="Tata AIG"/>
    <n v="10"/>
    <n v="92380"/>
    <n v="5760000"/>
    <x v="179"/>
    <s v="yes"/>
    <x v="2"/>
  </r>
  <r>
    <n v="1181"/>
    <s v="Pooja Malhotra"/>
    <s v="Female"/>
    <n v="26"/>
    <x v="0"/>
    <x v="2"/>
    <x v="2"/>
    <x v="0"/>
    <s v="Rohit Singh"/>
    <s v="Central Showroom"/>
    <x v="159"/>
    <s v="Bank Loan"/>
    <s v="HDFC Bank"/>
    <s v="Yes"/>
    <n v="4"/>
    <s v="HDFC Ergo"/>
    <n v="6"/>
    <n v="53280"/>
    <n v="756000"/>
    <x v="180"/>
    <s v="no"/>
    <x v="0"/>
  </r>
  <r>
    <n v="1182"/>
    <s v="Neha Verma"/>
    <s v="Male"/>
    <n v="53"/>
    <x v="9"/>
    <x v="3"/>
    <x v="5"/>
    <x v="4"/>
    <s v="Kunal Mehta"/>
    <s v="Central Showroom"/>
    <x v="93"/>
    <s v="Credit Card"/>
    <s v="Kotak Bank"/>
    <s v="No"/>
    <n v="4"/>
    <s v="ICICI Lombard"/>
    <n v="18"/>
    <n v="279187"/>
    <n v="1350000"/>
    <x v="181"/>
    <s v="no"/>
    <x v="0"/>
  </r>
  <r>
    <n v="1183"/>
    <s v="Sneha Desai"/>
    <s v="Male"/>
    <n v="59"/>
    <x v="5"/>
    <x v="3"/>
    <x v="2"/>
    <x v="0"/>
    <s v="Kunal Mehta"/>
    <s v="Central Showroom"/>
    <x v="160"/>
    <s v="Bank Loan"/>
    <s v="ICICI Bank"/>
    <s v="Yes"/>
    <n v="5"/>
    <s v="HDFC Ergo"/>
    <n v="25"/>
    <n v="203243"/>
    <n v="1224000"/>
    <x v="182"/>
    <s v="no"/>
    <x v="0"/>
  </r>
  <r>
    <n v="1184"/>
    <s v="Pooja Malhotra"/>
    <s v="Male"/>
    <n v="52"/>
    <x v="7"/>
    <x v="3"/>
    <x v="0"/>
    <x v="0"/>
    <s v="Kunal Mehta"/>
    <s v="City Mall Branch"/>
    <x v="55"/>
    <s v="Bank Loan"/>
    <s v="SBI"/>
    <s v="No"/>
    <n v="5"/>
    <s v="Bajaj Allianz"/>
    <n v="21"/>
    <n v="215247"/>
    <n v="702000"/>
    <x v="183"/>
    <s v="no"/>
    <x v="3"/>
  </r>
  <r>
    <n v="1185"/>
    <s v="Ankit Mehta"/>
    <s v="Male"/>
    <n v="44"/>
    <x v="8"/>
    <x v="2"/>
    <x v="1"/>
    <x v="1"/>
    <s v="Rohit Singh"/>
    <s v="Highway Branch"/>
    <x v="161"/>
    <s v="Credit Card"/>
    <s v="Axis Bank"/>
    <s v="Yes"/>
    <n v="3"/>
    <s v="Tata AIG"/>
    <n v="19"/>
    <n v="80094"/>
    <n v="936000"/>
    <x v="184"/>
    <s v="no"/>
    <x v="0"/>
  </r>
  <r>
    <n v="1186"/>
    <s v="Rahul Sharma"/>
    <s v="Female"/>
    <n v="41"/>
    <x v="4"/>
    <x v="0"/>
    <x v="9"/>
    <x v="6"/>
    <s v="Suresh Iyer"/>
    <s v="City Mall Branch"/>
    <x v="162"/>
    <s v="Cash"/>
    <s v="ICICI Bank"/>
    <s v="Yes"/>
    <n v="5"/>
    <s v="ICICI Lombard"/>
    <n v="15"/>
    <n v="160120"/>
    <n v="846000"/>
    <x v="185"/>
    <s v="no"/>
    <x v="0"/>
  </r>
  <r>
    <n v="1187"/>
    <s v="Ankit Mehta"/>
    <s v="Male"/>
    <n v="52"/>
    <x v="9"/>
    <x v="1"/>
    <x v="8"/>
    <x v="6"/>
    <s v="Vivek Sharma"/>
    <s v="Premium Lounge"/>
    <x v="163"/>
    <s v="Bank Loan"/>
    <s v="HDFC Bank"/>
    <s v="No"/>
    <n v="4"/>
    <s v="HDFC Ergo"/>
    <n v="9"/>
    <n v="50999"/>
    <n v="1350000"/>
    <x v="186"/>
    <s v="no"/>
    <x v="0"/>
  </r>
  <r>
    <n v="1188"/>
    <s v="Sneha Desai"/>
    <s v="Female"/>
    <n v="46"/>
    <x v="0"/>
    <x v="0"/>
    <x v="3"/>
    <x v="2"/>
    <s v="Suresh Iyer"/>
    <s v="Central Showroom"/>
    <x v="164"/>
    <s v="Debit Card"/>
    <s v="SBI"/>
    <s v="No"/>
    <n v="4"/>
    <s v="Tata AIG"/>
    <n v="21"/>
    <n v="200978"/>
    <n v="756000"/>
    <x v="187"/>
    <s v="no"/>
    <x v="0"/>
  </r>
  <r>
    <n v="1189"/>
    <s v="Harsh Patel"/>
    <s v="Female"/>
    <n v="40"/>
    <x v="0"/>
    <x v="2"/>
    <x v="6"/>
    <x v="5"/>
    <s v="Amit Patel"/>
    <s v="Premium Lounge"/>
    <x v="165"/>
    <s v="Credit Card"/>
    <s v="SBI"/>
    <s v="Yes"/>
    <n v="2"/>
    <s v="ICICI Lombard"/>
    <n v="10"/>
    <n v="122384"/>
    <n v="756000"/>
    <x v="188"/>
    <s v="no"/>
    <x v="0"/>
  </r>
  <r>
    <n v="1190"/>
    <s v="Ankit Mehta"/>
    <s v="Male"/>
    <n v="36"/>
    <x v="9"/>
    <x v="0"/>
    <x v="1"/>
    <x v="1"/>
    <s v="Rohit Singh"/>
    <s v="City Mall Branch"/>
    <x v="166"/>
    <s v="UPI"/>
    <s v="Axis Bank"/>
    <s v="Yes"/>
    <n v="2"/>
    <s v="Bajaj Allianz"/>
    <n v="8"/>
    <n v="138803"/>
    <n v="1350000"/>
    <x v="189"/>
    <s v="no"/>
    <x v="0"/>
  </r>
  <r>
    <n v="1191"/>
    <s v="Aman Jain"/>
    <s v="Male"/>
    <n v="48"/>
    <x v="7"/>
    <x v="0"/>
    <x v="0"/>
    <x v="0"/>
    <s v="Vivek Sharma"/>
    <s v="Highway Branch"/>
    <x v="167"/>
    <s v="Bank Loan"/>
    <s v="Kotak Bank"/>
    <s v="Yes"/>
    <n v="2"/>
    <s v="Tata AIG"/>
    <n v="18"/>
    <n v="203240"/>
    <n v="702000"/>
    <x v="190"/>
    <s v="no"/>
    <x v="3"/>
  </r>
  <r>
    <n v="1192"/>
    <s v="Sneha Desai"/>
    <s v="Female"/>
    <n v="52"/>
    <x v="1"/>
    <x v="3"/>
    <x v="5"/>
    <x v="4"/>
    <s v="Kunal Mehta"/>
    <s v="Highway Branch"/>
    <x v="168"/>
    <s v="Credit Card"/>
    <s v="ICICI Bank"/>
    <s v="Yes"/>
    <n v="4"/>
    <s v="HDFC Ergo"/>
    <n v="10"/>
    <n v="104452"/>
    <n v="1764000"/>
    <x v="191"/>
    <s v="yes"/>
    <x v="1"/>
  </r>
  <r>
    <n v="1193"/>
    <s v="Neha Verma"/>
    <s v="Male"/>
    <n v="40"/>
    <x v="8"/>
    <x v="1"/>
    <x v="3"/>
    <x v="2"/>
    <s v="Kunal Mehta"/>
    <s v="City Mall Branch"/>
    <x v="169"/>
    <s v="Debit Card"/>
    <s v="SBI"/>
    <s v="Yes"/>
    <n v="4"/>
    <s v="ICICI Lombard"/>
    <n v="18"/>
    <n v="121601"/>
    <n v="936000"/>
    <x v="192"/>
    <s v="no"/>
    <x v="0"/>
  </r>
  <r>
    <n v="1194"/>
    <s v="Ankit Mehta"/>
    <s v="Male"/>
    <n v="45"/>
    <x v="4"/>
    <x v="1"/>
    <x v="9"/>
    <x v="6"/>
    <s v="Rohit Singh"/>
    <s v="Highway Branch"/>
    <x v="170"/>
    <s v="Credit Card"/>
    <s v="Axis Bank"/>
    <s v="No"/>
    <n v="4"/>
    <s v="ICICI Lombard"/>
    <n v="12"/>
    <n v="128724"/>
    <n v="846000"/>
    <x v="193"/>
    <s v="no"/>
    <x v="0"/>
  </r>
  <r>
    <n v="1195"/>
    <s v="Nitin Agarwal"/>
    <s v="Male"/>
    <n v="38"/>
    <x v="2"/>
    <x v="2"/>
    <x v="2"/>
    <x v="0"/>
    <s v="Amit Patel"/>
    <s v="Central Showroom"/>
    <x v="171"/>
    <s v="Bank Loan"/>
    <s v="HDFC Bank"/>
    <s v="Yes"/>
    <n v="4"/>
    <s v="Tata AIG"/>
    <n v="8"/>
    <n v="192645"/>
    <n v="5760000"/>
    <x v="194"/>
    <s v="yes"/>
    <x v="2"/>
  </r>
  <r>
    <n v="1196"/>
    <s v="Aman Jain"/>
    <s v="Male"/>
    <n v="49"/>
    <x v="6"/>
    <x v="1"/>
    <x v="0"/>
    <x v="0"/>
    <s v="Vivek Sharma"/>
    <s v="Premium Lounge"/>
    <x v="172"/>
    <s v="Credit Card"/>
    <s v="ICICI Bank"/>
    <s v="No"/>
    <n v="3"/>
    <s v="HDFC Ergo"/>
    <n v="5"/>
    <n v="213986"/>
    <n v="1098000"/>
    <x v="195"/>
    <s v="no"/>
    <x v="0"/>
  </r>
  <r>
    <n v="1197"/>
    <s v="Suresh Nair"/>
    <s v="Female"/>
    <n v="39"/>
    <x v="1"/>
    <x v="3"/>
    <x v="9"/>
    <x v="6"/>
    <s v="Rohit Singh"/>
    <s v="City Mall Branch"/>
    <x v="173"/>
    <s v="Bank Loan"/>
    <s v="SBI"/>
    <s v="No"/>
    <n v="5"/>
    <s v="ICICI Lombard"/>
    <n v="14"/>
    <n v="82212"/>
    <n v="1764000"/>
    <x v="196"/>
    <s v="yes"/>
    <x v="1"/>
  </r>
  <r>
    <n v="1198"/>
    <s v="Harsh Patel"/>
    <s v="Female"/>
    <n v="25"/>
    <x v="7"/>
    <x v="3"/>
    <x v="4"/>
    <x v="3"/>
    <s v="Kunal Mehta"/>
    <s v="Premium Lounge"/>
    <x v="174"/>
    <s v="Cash"/>
    <s v="SBI"/>
    <s v="No"/>
    <n v="5"/>
    <s v="Bajaj Allianz"/>
    <n v="20"/>
    <n v="232860"/>
    <n v="702000"/>
    <x v="197"/>
    <s v="no"/>
    <x v="3"/>
  </r>
  <r>
    <n v="1199"/>
    <s v="Rahul Sharma"/>
    <s v="Female"/>
    <n v="35"/>
    <x v="1"/>
    <x v="1"/>
    <x v="4"/>
    <x v="3"/>
    <s v="Rohit Singh"/>
    <s v="Premium Lounge"/>
    <x v="175"/>
    <s v="Credit Card"/>
    <s v="Kotak Bank"/>
    <s v="Yes"/>
    <n v="2"/>
    <s v="ICICI Lombard"/>
    <n v="13"/>
    <n v="100620"/>
    <n v="1764000"/>
    <x v="198"/>
    <s v="yes"/>
    <x v="1"/>
  </r>
  <r>
    <n v="1200"/>
    <s v="Harsh Patel"/>
    <s v="Male"/>
    <n v="41"/>
    <x v="4"/>
    <x v="0"/>
    <x v="6"/>
    <x v="5"/>
    <s v="Rohit Singh"/>
    <s v="Central Showroom"/>
    <x v="176"/>
    <s v="UPI"/>
    <s v="SBI"/>
    <s v="No"/>
    <n v="4"/>
    <s v="Tata AIG"/>
    <n v="25"/>
    <n v="205515"/>
    <n v="846000"/>
    <x v="199"/>
    <s v="no"/>
    <x v="0"/>
  </r>
  <r>
    <n v="1201"/>
    <s v="Vikas Joshi"/>
    <s v="Male"/>
    <n v="43"/>
    <x v="8"/>
    <x v="1"/>
    <x v="5"/>
    <x v="4"/>
    <s v="Rohit Singh"/>
    <s v="City Mall Branch"/>
    <x v="177"/>
    <s v="Cash"/>
    <s v="Kotak Bank"/>
    <s v="No"/>
    <n v="2"/>
    <s v="HDFC Ergo"/>
    <n v="5"/>
    <n v="88037"/>
    <n v="936000"/>
    <x v="200"/>
    <s v="no"/>
    <x v="0"/>
  </r>
  <r>
    <n v="1202"/>
    <s v="Kavita Shah"/>
    <s v="Male"/>
    <n v="46"/>
    <x v="3"/>
    <x v="0"/>
    <x v="1"/>
    <x v="1"/>
    <s v="Vivek Sharma"/>
    <s v="City Mall Branch"/>
    <x v="178"/>
    <s v="UPI"/>
    <s v="Kotak Bank"/>
    <s v="No"/>
    <n v="4"/>
    <s v="Bajaj Allianz"/>
    <n v="23"/>
    <n v="214754"/>
    <n v="2250000"/>
    <x v="201"/>
    <s v="no"/>
    <x v="1"/>
  </r>
  <r>
    <n v="1203"/>
    <s v="Priya Shah"/>
    <s v="Male"/>
    <n v="46"/>
    <x v="3"/>
    <x v="3"/>
    <x v="8"/>
    <x v="6"/>
    <s v="Vivek Sharma"/>
    <s v="City Mall Branch"/>
    <x v="179"/>
    <s v="Credit Card"/>
    <s v="SBI"/>
    <s v="Yes"/>
    <n v="5"/>
    <s v="HDFC Ergo"/>
    <n v="7"/>
    <n v="298686"/>
    <n v="2250000"/>
    <x v="202"/>
    <s v="no"/>
    <x v="1"/>
  </r>
  <r>
    <n v="1204"/>
    <s v="Nitin Agarwal"/>
    <s v="Male"/>
    <n v="49"/>
    <x v="6"/>
    <x v="0"/>
    <x v="6"/>
    <x v="5"/>
    <s v="Rohit Singh"/>
    <s v="Premium Lounge"/>
    <x v="180"/>
    <s v="UPI"/>
    <s v="ICICI Bank"/>
    <s v="Yes"/>
    <n v="4"/>
    <s v="Bajaj Allianz"/>
    <n v="7"/>
    <n v="197086"/>
    <n v="1098000"/>
    <x v="203"/>
    <s v="no"/>
    <x v="0"/>
  </r>
  <r>
    <n v="1205"/>
    <s v="Aman Jain"/>
    <s v="Female"/>
    <n v="45"/>
    <x v="0"/>
    <x v="3"/>
    <x v="9"/>
    <x v="6"/>
    <s v="Vivek Sharma"/>
    <s v="Central Showroom"/>
    <x v="181"/>
    <s v="Credit Card"/>
    <s v="ICICI Bank"/>
    <s v="Yes"/>
    <n v="5"/>
    <s v="ICICI Lombard"/>
    <n v="8"/>
    <n v="194041"/>
    <n v="756000"/>
    <x v="204"/>
    <s v="no"/>
    <x v="0"/>
  </r>
  <r>
    <n v="1206"/>
    <s v="Kavita Shah"/>
    <s v="Female"/>
    <n v="37"/>
    <x v="5"/>
    <x v="0"/>
    <x v="9"/>
    <x v="6"/>
    <s v="Rohit Singh"/>
    <s v="Central Showroom"/>
    <x v="182"/>
    <s v="Bank Loan"/>
    <s v="ICICI Bank"/>
    <s v="No"/>
    <n v="3"/>
    <s v="Tata AIG"/>
    <n v="22"/>
    <n v="131019"/>
    <n v="1224000"/>
    <x v="205"/>
    <s v="no"/>
    <x v="0"/>
  </r>
  <r>
    <n v="1207"/>
    <s v="Nitin Agarwal"/>
    <s v="Female"/>
    <n v="31"/>
    <x v="6"/>
    <x v="1"/>
    <x v="5"/>
    <x v="4"/>
    <s v="Kunal Mehta"/>
    <s v="Premium Lounge"/>
    <x v="183"/>
    <s v="Credit Card"/>
    <s v="Axis Bank"/>
    <s v="No"/>
    <n v="2"/>
    <s v="ICICI Lombard"/>
    <n v="22"/>
    <n v="147549"/>
    <n v="1098000"/>
    <x v="206"/>
    <s v="no"/>
    <x v="0"/>
  </r>
  <r>
    <n v="1208"/>
    <s v="Harsh Patel"/>
    <s v="Female"/>
    <n v="27"/>
    <x v="6"/>
    <x v="0"/>
    <x v="5"/>
    <x v="4"/>
    <s v="Kunal Mehta"/>
    <s v="Central Showroom"/>
    <x v="184"/>
    <s v="UPI"/>
    <s v="Kotak Bank"/>
    <s v="Yes"/>
    <n v="3"/>
    <s v="HDFC Ergo"/>
    <n v="10"/>
    <n v="192862"/>
    <n v="1098000"/>
    <x v="207"/>
    <s v="no"/>
    <x v="0"/>
  </r>
  <r>
    <n v="1209"/>
    <s v="Rahul Sharma"/>
    <s v="Female"/>
    <n v="37"/>
    <x v="8"/>
    <x v="3"/>
    <x v="3"/>
    <x v="2"/>
    <s v="Amit Patel"/>
    <s v="Highway Branch"/>
    <x v="185"/>
    <s v="UPI"/>
    <s v="ICICI Bank"/>
    <s v="No"/>
    <n v="4"/>
    <s v="HDFC Ergo"/>
    <n v="12"/>
    <n v="129691"/>
    <n v="936000"/>
    <x v="208"/>
    <s v="no"/>
    <x v="0"/>
  </r>
  <r>
    <n v="1210"/>
    <s v="Sneha Desai"/>
    <s v="Male"/>
    <n v="43"/>
    <x v="2"/>
    <x v="1"/>
    <x v="7"/>
    <x v="0"/>
    <s v="Amit Patel"/>
    <s v="City Mall Branch"/>
    <x v="186"/>
    <s v="Debit Card"/>
    <s v="SBI"/>
    <s v="No"/>
    <n v="5"/>
    <s v="ICICI Lombard"/>
    <n v="15"/>
    <n v="99585"/>
    <n v="5760000"/>
    <x v="209"/>
    <s v="yes"/>
    <x v="2"/>
  </r>
  <r>
    <n v="1211"/>
    <s v="Neha Verma"/>
    <s v="Male"/>
    <n v="28"/>
    <x v="1"/>
    <x v="2"/>
    <x v="7"/>
    <x v="0"/>
    <s v="Amit Patel"/>
    <s v="Central Showroom"/>
    <x v="128"/>
    <s v="UPI"/>
    <s v="HDFC Bank"/>
    <s v="Yes"/>
    <n v="5"/>
    <s v="Bajaj Allianz"/>
    <n v="18"/>
    <n v="135963"/>
    <n v="1764000"/>
    <x v="210"/>
    <s v="yes"/>
    <x v="1"/>
  </r>
  <r>
    <n v="1212"/>
    <s v="Harsh Patel"/>
    <s v="Female"/>
    <n v="51"/>
    <x v="2"/>
    <x v="1"/>
    <x v="0"/>
    <x v="0"/>
    <s v="Vivek Sharma"/>
    <s v="Central Showroom"/>
    <x v="81"/>
    <s v="Cash"/>
    <s v="ICICI Bank"/>
    <s v="No"/>
    <n v="3"/>
    <s v="ICICI Lombard"/>
    <n v="8"/>
    <n v="281999"/>
    <n v="5760000"/>
    <x v="211"/>
    <s v="yes"/>
    <x v="2"/>
  </r>
  <r>
    <n v="1213"/>
    <s v="Aman Jain"/>
    <s v="Male"/>
    <n v="54"/>
    <x v="8"/>
    <x v="0"/>
    <x v="5"/>
    <x v="4"/>
    <s v="Kunal Mehta"/>
    <s v="City Mall Branch"/>
    <x v="187"/>
    <s v="UPI"/>
    <s v="Axis Bank"/>
    <s v="No"/>
    <n v="4"/>
    <s v="Bajaj Allianz"/>
    <n v="12"/>
    <n v="164858"/>
    <n v="936000"/>
    <x v="212"/>
    <s v="no"/>
    <x v="0"/>
  </r>
  <r>
    <n v="1214"/>
    <s v="Rohit Kumar"/>
    <s v="Female"/>
    <n v="33"/>
    <x v="0"/>
    <x v="3"/>
    <x v="0"/>
    <x v="0"/>
    <s v="Rohit Singh"/>
    <s v="Central Showroom"/>
    <x v="188"/>
    <s v="UPI"/>
    <s v="Axis Bank"/>
    <s v="Yes"/>
    <n v="5"/>
    <s v="Tata AIG"/>
    <n v="8"/>
    <n v="270400"/>
    <n v="756000"/>
    <x v="213"/>
    <s v="no"/>
    <x v="0"/>
  </r>
  <r>
    <n v="1215"/>
    <s v="Pooja Malhotra"/>
    <s v="Male"/>
    <n v="33"/>
    <x v="1"/>
    <x v="1"/>
    <x v="5"/>
    <x v="4"/>
    <s v="Suresh Iyer"/>
    <s v="Premium Lounge"/>
    <x v="189"/>
    <s v="Bank Loan"/>
    <s v="Kotak Bank"/>
    <s v="Yes"/>
    <n v="5"/>
    <s v="Tata AIG"/>
    <n v="9"/>
    <n v="99105"/>
    <n v="1764000"/>
    <x v="214"/>
    <s v="yes"/>
    <x v="1"/>
  </r>
  <r>
    <n v="1216"/>
    <s v="Aman Jain"/>
    <s v="Female"/>
    <n v="47"/>
    <x v="3"/>
    <x v="0"/>
    <x v="7"/>
    <x v="0"/>
    <s v="Rohit Singh"/>
    <s v="City Mall Branch"/>
    <x v="190"/>
    <s v="Debit Card"/>
    <s v="SBI"/>
    <s v="Yes"/>
    <n v="2"/>
    <s v="Tata AIG"/>
    <n v="12"/>
    <n v="142943"/>
    <n v="2250000"/>
    <x v="215"/>
    <s v="no"/>
    <x v="1"/>
  </r>
  <r>
    <n v="1217"/>
    <s v="Kavita Shah"/>
    <s v="Male"/>
    <n v="53"/>
    <x v="6"/>
    <x v="1"/>
    <x v="0"/>
    <x v="0"/>
    <s v="Suresh Iyer"/>
    <s v="Highway Branch"/>
    <x v="54"/>
    <s v="Debit Card"/>
    <s v="SBI"/>
    <s v="No"/>
    <n v="5"/>
    <s v="ICICI Lombard"/>
    <n v="16"/>
    <n v="174526"/>
    <n v="1098000"/>
    <x v="216"/>
    <s v="no"/>
    <x v="0"/>
  </r>
  <r>
    <n v="1218"/>
    <s v="Vikas Joshi"/>
    <s v="Male"/>
    <n v="42"/>
    <x v="2"/>
    <x v="1"/>
    <x v="4"/>
    <x v="3"/>
    <s v="Amit Patel"/>
    <s v="Central Showroom"/>
    <x v="191"/>
    <s v="Cash"/>
    <s v="ICICI Bank"/>
    <s v="No"/>
    <n v="2"/>
    <s v="ICICI Lombard"/>
    <n v="12"/>
    <n v="84230"/>
    <n v="5760000"/>
    <x v="217"/>
    <s v="yes"/>
    <x v="2"/>
  </r>
  <r>
    <n v="1219"/>
    <s v="Nitin Agarwal"/>
    <s v="Male"/>
    <n v="39"/>
    <x v="0"/>
    <x v="1"/>
    <x v="5"/>
    <x v="4"/>
    <s v="Suresh Iyer"/>
    <s v="City Mall Branch"/>
    <x v="192"/>
    <s v="Cash"/>
    <s v="Axis Bank"/>
    <s v="Yes"/>
    <n v="2"/>
    <s v="Bajaj Allianz"/>
    <n v="13"/>
    <n v="157623"/>
    <n v="756000"/>
    <x v="218"/>
    <s v="no"/>
    <x v="0"/>
  </r>
  <r>
    <n v="1220"/>
    <s v="Rohit Kumar"/>
    <s v="Female"/>
    <n v="36"/>
    <x v="8"/>
    <x v="3"/>
    <x v="2"/>
    <x v="0"/>
    <s v="Vivek Sharma"/>
    <s v="Central Showroom"/>
    <x v="193"/>
    <s v="Credit Card"/>
    <s v="ICICI Bank"/>
    <s v="No"/>
    <n v="3"/>
    <s v="HDFC Ergo"/>
    <n v="25"/>
    <n v="79593"/>
    <n v="936000"/>
    <x v="219"/>
    <s v="no"/>
    <x v="0"/>
  </r>
  <r>
    <n v="1221"/>
    <s v="Sneha Desai"/>
    <s v="Male"/>
    <n v="41"/>
    <x v="5"/>
    <x v="1"/>
    <x v="6"/>
    <x v="5"/>
    <s v="Amit Patel"/>
    <s v="Central Showroom"/>
    <x v="194"/>
    <s v="Debit Card"/>
    <s v="Kotak Bank"/>
    <s v="No"/>
    <n v="5"/>
    <s v="Tata AIG"/>
    <n v="21"/>
    <n v="165178"/>
    <n v="1224000"/>
    <x v="220"/>
    <s v="no"/>
    <x v="0"/>
  </r>
  <r>
    <n v="1222"/>
    <s v="Suresh Nair"/>
    <s v="Male"/>
    <n v="41"/>
    <x v="3"/>
    <x v="2"/>
    <x v="4"/>
    <x v="3"/>
    <s v="Vivek Sharma"/>
    <s v="Central Showroom"/>
    <x v="100"/>
    <s v="UPI"/>
    <s v="HDFC Bank"/>
    <s v="No"/>
    <n v="5"/>
    <s v="HDFC Ergo"/>
    <n v="11"/>
    <n v="151502"/>
    <n v="2250000"/>
    <x v="221"/>
    <s v="no"/>
    <x v="1"/>
  </r>
  <r>
    <n v="1223"/>
    <s v="Mohit Gupta"/>
    <s v="Male"/>
    <n v="32"/>
    <x v="5"/>
    <x v="0"/>
    <x v="3"/>
    <x v="2"/>
    <s v="Vivek Sharma"/>
    <s v="City Mall Branch"/>
    <x v="56"/>
    <s v="Credit Card"/>
    <s v="Kotak Bank"/>
    <s v="No"/>
    <n v="4"/>
    <s v="Bajaj Allianz"/>
    <n v="24"/>
    <n v="248487"/>
    <n v="1224000"/>
    <x v="222"/>
    <s v="no"/>
    <x v="0"/>
  </r>
  <r>
    <n v="1224"/>
    <s v="Pooja Malhotra"/>
    <s v="Female"/>
    <n v="26"/>
    <x v="0"/>
    <x v="1"/>
    <x v="9"/>
    <x v="6"/>
    <s v="Rohit Singh"/>
    <s v="Premium Lounge"/>
    <x v="195"/>
    <s v="UPI"/>
    <s v="ICICI Bank"/>
    <s v="Yes"/>
    <n v="2"/>
    <s v="Bajaj Allianz"/>
    <n v="9"/>
    <n v="144904"/>
    <n v="756000"/>
    <x v="223"/>
    <s v="no"/>
    <x v="0"/>
  </r>
  <r>
    <n v="1225"/>
    <s v="Ankit Mehta"/>
    <s v="Female"/>
    <n v="44"/>
    <x v="3"/>
    <x v="3"/>
    <x v="6"/>
    <x v="5"/>
    <s v="Vivek Sharma"/>
    <s v="Premium Lounge"/>
    <x v="196"/>
    <s v="Bank Loan"/>
    <s v="SBI"/>
    <s v="No"/>
    <n v="2"/>
    <s v="HDFC Ergo"/>
    <n v="9"/>
    <n v="223451"/>
    <n v="2250000"/>
    <x v="224"/>
    <s v="no"/>
    <x v="1"/>
  </r>
  <r>
    <n v="1226"/>
    <s v="Harsh Patel"/>
    <s v="Female"/>
    <n v="33"/>
    <x v="4"/>
    <x v="1"/>
    <x v="1"/>
    <x v="1"/>
    <s v="Kunal Mehta"/>
    <s v="Premium Lounge"/>
    <x v="119"/>
    <s v="Bank Loan"/>
    <s v="SBI"/>
    <s v="Yes"/>
    <n v="3"/>
    <s v="Bajaj Allianz"/>
    <n v="15"/>
    <n v="129094"/>
    <n v="846000"/>
    <x v="225"/>
    <s v="no"/>
    <x v="0"/>
  </r>
  <r>
    <n v="1227"/>
    <s v="Sneha Desai"/>
    <s v="Female"/>
    <n v="31"/>
    <x v="9"/>
    <x v="3"/>
    <x v="4"/>
    <x v="3"/>
    <s v="Amit Patel"/>
    <s v="Highway Branch"/>
    <x v="197"/>
    <s v="Credit Card"/>
    <s v="HDFC Bank"/>
    <s v="Yes"/>
    <n v="3"/>
    <s v="Tata AIG"/>
    <n v="6"/>
    <n v="160615"/>
    <n v="1350000"/>
    <x v="226"/>
    <s v="no"/>
    <x v="0"/>
  </r>
  <r>
    <n v="1228"/>
    <s v="Ankit Mehta"/>
    <s v="Male"/>
    <n v="32"/>
    <x v="1"/>
    <x v="1"/>
    <x v="7"/>
    <x v="0"/>
    <s v="Rohit Singh"/>
    <s v="Premium Lounge"/>
    <x v="198"/>
    <s v="Credit Card"/>
    <s v="Axis Bank"/>
    <s v="No"/>
    <n v="4"/>
    <s v="ICICI Lombard"/>
    <n v="24"/>
    <n v="251720"/>
    <n v="1764000"/>
    <x v="227"/>
    <s v="yes"/>
    <x v="1"/>
  </r>
  <r>
    <n v="1229"/>
    <s v="Ankit Mehta"/>
    <s v="Male"/>
    <n v="28"/>
    <x v="8"/>
    <x v="3"/>
    <x v="5"/>
    <x v="4"/>
    <s v="Suresh Iyer"/>
    <s v="City Mall Branch"/>
    <x v="199"/>
    <s v="UPI"/>
    <s v="Kotak Bank"/>
    <s v="No"/>
    <n v="3"/>
    <s v="HDFC Ergo"/>
    <n v="8"/>
    <n v="58192"/>
    <n v="936000"/>
    <x v="228"/>
    <s v="no"/>
    <x v="0"/>
  </r>
  <r>
    <n v="1230"/>
    <s v="Sneha Desai"/>
    <s v="Male"/>
    <n v="39"/>
    <x v="2"/>
    <x v="1"/>
    <x v="2"/>
    <x v="0"/>
    <s v="Rohit Singh"/>
    <s v="City Mall Branch"/>
    <x v="200"/>
    <s v="Debit Card"/>
    <s v="SBI"/>
    <s v="No"/>
    <n v="4"/>
    <s v="Tata AIG"/>
    <n v="21"/>
    <n v="194308"/>
    <n v="5760000"/>
    <x v="229"/>
    <s v="yes"/>
    <x v="2"/>
  </r>
  <r>
    <n v="1231"/>
    <s v="Riya Kapoor"/>
    <s v="Female"/>
    <n v="30"/>
    <x v="0"/>
    <x v="2"/>
    <x v="3"/>
    <x v="2"/>
    <s v="Vivek Sharma"/>
    <s v="Central Showroom"/>
    <x v="125"/>
    <s v="Bank Loan"/>
    <s v="Kotak Bank"/>
    <s v="No"/>
    <n v="4"/>
    <s v="ICICI Lombard"/>
    <n v="15"/>
    <n v="161504"/>
    <n v="756000"/>
    <x v="230"/>
    <s v="no"/>
    <x v="0"/>
  </r>
  <r>
    <n v="1232"/>
    <s v="Kavita Shah"/>
    <s v="Male"/>
    <n v="42"/>
    <x v="0"/>
    <x v="3"/>
    <x v="5"/>
    <x v="4"/>
    <s v="Kunal Mehta"/>
    <s v="Central Showroom"/>
    <x v="201"/>
    <s v="UPI"/>
    <s v="Kotak Bank"/>
    <s v="No"/>
    <n v="5"/>
    <s v="HDFC Ergo"/>
    <n v="10"/>
    <n v="89584"/>
    <n v="756000"/>
    <x v="231"/>
    <s v="no"/>
    <x v="0"/>
  </r>
  <r>
    <n v="1233"/>
    <s v="Nitin Agarwal"/>
    <s v="Male"/>
    <n v="58"/>
    <x v="7"/>
    <x v="2"/>
    <x v="5"/>
    <x v="4"/>
    <s v="Amit Patel"/>
    <s v="Central Showroom"/>
    <x v="202"/>
    <s v="Credit Card"/>
    <s v="HDFC Bank"/>
    <s v="Yes"/>
    <n v="4"/>
    <s v="Tata AIG"/>
    <n v="8"/>
    <n v="206505"/>
    <n v="702000"/>
    <x v="232"/>
    <s v="no"/>
    <x v="3"/>
  </r>
  <r>
    <n v="1234"/>
    <s v="Aman Jain"/>
    <s v="Male"/>
    <n v="26"/>
    <x v="6"/>
    <x v="2"/>
    <x v="6"/>
    <x v="5"/>
    <s v="Suresh Iyer"/>
    <s v="Central Showroom"/>
    <x v="16"/>
    <s v="Credit Card"/>
    <s v="Axis Bank"/>
    <s v="No"/>
    <n v="5"/>
    <s v="HDFC Ergo"/>
    <n v="12"/>
    <n v="81240"/>
    <n v="1098000"/>
    <x v="233"/>
    <s v="no"/>
    <x v="0"/>
  </r>
  <r>
    <n v="1235"/>
    <s v="Aman Jain"/>
    <s v="Male"/>
    <n v="45"/>
    <x v="0"/>
    <x v="3"/>
    <x v="5"/>
    <x v="4"/>
    <s v="Suresh Iyer"/>
    <s v="Central Showroom"/>
    <x v="203"/>
    <s v="Bank Loan"/>
    <s v="SBI"/>
    <s v="No"/>
    <n v="4"/>
    <s v="HDFC Ergo"/>
    <n v="13"/>
    <n v="187907"/>
    <n v="756000"/>
    <x v="234"/>
    <s v="no"/>
    <x v="0"/>
  </r>
  <r>
    <n v="1236"/>
    <s v="Kavita Shah"/>
    <s v="Male"/>
    <n v="41"/>
    <x v="0"/>
    <x v="2"/>
    <x v="7"/>
    <x v="0"/>
    <s v="Amit Patel"/>
    <s v="City Mall Branch"/>
    <x v="204"/>
    <s v="Bank Loan"/>
    <s v="Axis Bank"/>
    <s v="No"/>
    <n v="2"/>
    <s v="Tata AIG"/>
    <n v="14"/>
    <n v="124795"/>
    <n v="756000"/>
    <x v="235"/>
    <s v="no"/>
    <x v="0"/>
  </r>
  <r>
    <n v="1237"/>
    <s v="Pooja Malhotra"/>
    <s v="Female"/>
    <n v="29"/>
    <x v="0"/>
    <x v="0"/>
    <x v="2"/>
    <x v="0"/>
    <s v="Rohit Singh"/>
    <s v="City Mall Branch"/>
    <x v="205"/>
    <s v="UPI"/>
    <s v="ICICI Bank"/>
    <s v="No"/>
    <n v="3"/>
    <s v="ICICI Lombard"/>
    <n v="25"/>
    <n v="59978"/>
    <n v="756000"/>
    <x v="236"/>
    <s v="no"/>
    <x v="0"/>
  </r>
  <r>
    <n v="1238"/>
    <s v="Vikas Joshi"/>
    <s v="Male"/>
    <n v="43"/>
    <x v="1"/>
    <x v="2"/>
    <x v="0"/>
    <x v="0"/>
    <s v="Vivek Sharma"/>
    <s v="Premium Lounge"/>
    <x v="206"/>
    <s v="Cash"/>
    <s v="HDFC Bank"/>
    <s v="No"/>
    <n v="2"/>
    <s v="HDFC Ergo"/>
    <n v="14"/>
    <n v="279201"/>
    <n v="1764000"/>
    <x v="237"/>
    <s v="yes"/>
    <x v="1"/>
  </r>
  <r>
    <n v="1239"/>
    <s v="Aman Jain"/>
    <s v="Female"/>
    <n v="41"/>
    <x v="8"/>
    <x v="1"/>
    <x v="9"/>
    <x v="6"/>
    <s v="Amit Patel"/>
    <s v="Premium Lounge"/>
    <x v="207"/>
    <s v="Credit Card"/>
    <s v="Axis Bank"/>
    <s v="Yes"/>
    <n v="5"/>
    <s v="HDFC Ergo"/>
    <n v="12"/>
    <n v="221699"/>
    <n v="936000"/>
    <x v="238"/>
    <s v="no"/>
    <x v="0"/>
  </r>
  <r>
    <n v="1240"/>
    <s v="Suresh Nair"/>
    <s v="Male"/>
    <n v="47"/>
    <x v="9"/>
    <x v="2"/>
    <x v="2"/>
    <x v="0"/>
    <s v="Suresh Iyer"/>
    <s v="Premium Lounge"/>
    <x v="11"/>
    <s v="UPI"/>
    <s v="Axis Bank"/>
    <s v="Yes"/>
    <n v="2"/>
    <s v="Tata AIG"/>
    <n v="19"/>
    <n v="221274"/>
    <n v="1350000"/>
    <x v="239"/>
    <s v="no"/>
    <x v="0"/>
  </r>
  <r>
    <n v="1241"/>
    <s v="Ankit Mehta"/>
    <s v="Male"/>
    <n v="45"/>
    <x v="6"/>
    <x v="2"/>
    <x v="5"/>
    <x v="4"/>
    <s v="Kunal Mehta"/>
    <s v="City Mall Branch"/>
    <x v="208"/>
    <s v="Cash"/>
    <s v="ICICI Bank"/>
    <s v="Yes"/>
    <n v="4"/>
    <s v="ICICI Lombard"/>
    <n v="19"/>
    <n v="289952"/>
    <n v="1098000"/>
    <x v="240"/>
    <s v="no"/>
    <x v="0"/>
  </r>
  <r>
    <n v="1242"/>
    <s v="Nitin Agarwal"/>
    <s v="Female"/>
    <n v="26"/>
    <x v="2"/>
    <x v="1"/>
    <x v="0"/>
    <x v="0"/>
    <s v="Amit Patel"/>
    <s v="Central Showroom"/>
    <x v="209"/>
    <s v="Credit Card"/>
    <s v="SBI"/>
    <s v="Yes"/>
    <n v="2"/>
    <s v="Tata AIG"/>
    <n v="9"/>
    <n v="189750"/>
    <n v="5760000"/>
    <x v="241"/>
    <s v="yes"/>
    <x v="2"/>
  </r>
  <r>
    <n v="1243"/>
    <s v="Mohit Gupta"/>
    <s v="Male"/>
    <n v="28"/>
    <x v="3"/>
    <x v="1"/>
    <x v="3"/>
    <x v="2"/>
    <s v="Suresh Iyer"/>
    <s v="City Mall Branch"/>
    <x v="210"/>
    <s v="Debit Card"/>
    <s v="HDFC Bank"/>
    <s v="Yes"/>
    <n v="3"/>
    <s v="ICICI Lombard"/>
    <n v="15"/>
    <n v="166445"/>
    <n v="2250000"/>
    <x v="242"/>
    <s v="no"/>
    <x v="1"/>
  </r>
  <r>
    <n v="1244"/>
    <s v="Rahul Sharma"/>
    <s v="Male"/>
    <n v="56"/>
    <x v="1"/>
    <x v="3"/>
    <x v="3"/>
    <x v="2"/>
    <s v="Suresh Iyer"/>
    <s v="Premium Lounge"/>
    <x v="211"/>
    <s v="UPI"/>
    <s v="SBI"/>
    <s v="Yes"/>
    <n v="2"/>
    <s v="HDFC Ergo"/>
    <n v="13"/>
    <n v="54755"/>
    <n v="1764000"/>
    <x v="243"/>
    <s v="yes"/>
    <x v="1"/>
  </r>
  <r>
    <n v="1245"/>
    <s v="Neha Verma"/>
    <s v="Female"/>
    <n v="55"/>
    <x v="7"/>
    <x v="3"/>
    <x v="6"/>
    <x v="5"/>
    <s v="Vivek Sharma"/>
    <s v="Premium Lounge"/>
    <x v="212"/>
    <s v="Debit Card"/>
    <s v="Kotak Bank"/>
    <s v="Yes"/>
    <n v="3"/>
    <s v="HDFC Ergo"/>
    <n v="25"/>
    <n v="58872"/>
    <n v="702000"/>
    <x v="244"/>
    <s v="no"/>
    <x v="0"/>
  </r>
  <r>
    <n v="1246"/>
    <s v="Suresh Nair"/>
    <s v="Male"/>
    <n v="54"/>
    <x v="5"/>
    <x v="3"/>
    <x v="6"/>
    <x v="5"/>
    <s v="Kunal Mehta"/>
    <s v="Premium Lounge"/>
    <x v="140"/>
    <s v="Debit Card"/>
    <s v="ICICI Bank"/>
    <s v="Yes"/>
    <n v="3"/>
    <s v="HDFC Ergo"/>
    <n v="25"/>
    <n v="130225"/>
    <n v="1224000"/>
    <x v="245"/>
    <s v="no"/>
    <x v="0"/>
  </r>
  <r>
    <n v="1247"/>
    <s v="Rohit Kumar"/>
    <s v="Female"/>
    <n v="48"/>
    <x v="8"/>
    <x v="2"/>
    <x v="5"/>
    <x v="4"/>
    <s v="Rohit Singh"/>
    <s v="Premium Lounge"/>
    <x v="8"/>
    <s v="Debit Card"/>
    <s v="HDFC Bank"/>
    <s v="Yes"/>
    <n v="5"/>
    <s v="HDFC Ergo"/>
    <n v="17"/>
    <n v="170170"/>
    <n v="936000"/>
    <x v="246"/>
    <s v="no"/>
    <x v="0"/>
  </r>
  <r>
    <n v="1248"/>
    <s v="Mohit Gupta"/>
    <s v="Female"/>
    <n v="43"/>
    <x v="1"/>
    <x v="3"/>
    <x v="2"/>
    <x v="0"/>
    <s v="Kunal Mehta"/>
    <s v="Highway Branch"/>
    <x v="213"/>
    <s v="Debit Card"/>
    <s v="ICICI Bank"/>
    <s v="Yes"/>
    <n v="5"/>
    <s v="ICICI Lombard"/>
    <n v="25"/>
    <n v="120998"/>
    <n v="1764000"/>
    <x v="247"/>
    <s v="yes"/>
    <x v="1"/>
  </r>
  <r>
    <n v="1249"/>
    <s v="Kavita Shah"/>
    <s v="Male"/>
    <n v="28"/>
    <x v="2"/>
    <x v="2"/>
    <x v="9"/>
    <x v="6"/>
    <s v="Suresh Iyer"/>
    <s v="Highway Branch"/>
    <x v="214"/>
    <s v="UPI"/>
    <s v="SBI"/>
    <s v="Yes"/>
    <n v="5"/>
    <s v="Tata AIG"/>
    <n v="23"/>
    <n v="294493"/>
    <n v="5760000"/>
    <x v="248"/>
    <s v="yes"/>
    <x v="2"/>
  </r>
  <r>
    <n v="1250"/>
    <s v="Neha Verma"/>
    <s v="Female"/>
    <n v="48"/>
    <x v="7"/>
    <x v="2"/>
    <x v="7"/>
    <x v="0"/>
    <s v="Kunal Mehta"/>
    <s v="Highway Branch"/>
    <x v="55"/>
    <s v="Debit Card"/>
    <s v="HDFC Bank"/>
    <s v="Yes"/>
    <n v="5"/>
    <s v="ICICI Lombard"/>
    <n v="17"/>
    <n v="299905"/>
    <n v="702000"/>
    <x v="249"/>
    <s v="no"/>
    <x v="3"/>
  </r>
  <r>
    <n v="1251"/>
    <s v="Vikas Joshi"/>
    <s v="Male"/>
    <n v="47"/>
    <x v="7"/>
    <x v="1"/>
    <x v="4"/>
    <x v="3"/>
    <s v="Suresh Iyer"/>
    <s v="City Mall Branch"/>
    <x v="215"/>
    <s v="Cash"/>
    <s v="Kotak Bank"/>
    <s v="Yes"/>
    <n v="4"/>
    <s v="HDFC Ergo"/>
    <n v="24"/>
    <n v="165571"/>
    <n v="702000"/>
    <x v="250"/>
    <s v="no"/>
    <x v="3"/>
  </r>
  <r>
    <n v="1252"/>
    <s v="Harsh Patel"/>
    <s v="Male"/>
    <n v="39"/>
    <x v="7"/>
    <x v="3"/>
    <x v="7"/>
    <x v="0"/>
    <s v="Kunal Mehta"/>
    <s v="City Mall Branch"/>
    <x v="216"/>
    <s v="Bank Loan"/>
    <s v="Axis Bank"/>
    <s v="No"/>
    <n v="5"/>
    <s v="HDFC Ergo"/>
    <n v="8"/>
    <n v="196038"/>
    <n v="702000"/>
    <x v="251"/>
    <s v="no"/>
    <x v="3"/>
  </r>
  <r>
    <n v="1253"/>
    <s v="Ankit Mehta"/>
    <s v="Male"/>
    <n v="56"/>
    <x v="2"/>
    <x v="3"/>
    <x v="5"/>
    <x v="4"/>
    <s v="Suresh Iyer"/>
    <s v="City Mall Branch"/>
    <x v="217"/>
    <s v="Cash"/>
    <s v="SBI"/>
    <s v="Yes"/>
    <n v="3"/>
    <s v="HDFC Ergo"/>
    <n v="18"/>
    <n v="76093"/>
    <n v="5760000"/>
    <x v="252"/>
    <s v="yes"/>
    <x v="2"/>
  </r>
  <r>
    <n v="1254"/>
    <s v="Mohit Gupta"/>
    <s v="Male"/>
    <n v="43"/>
    <x v="6"/>
    <x v="2"/>
    <x v="5"/>
    <x v="4"/>
    <s v="Vivek Sharma"/>
    <s v="City Mall Branch"/>
    <x v="218"/>
    <s v="Debit Card"/>
    <s v="Kotak Bank"/>
    <s v="Yes"/>
    <n v="3"/>
    <s v="Bajaj Allianz"/>
    <n v="20"/>
    <n v="64773"/>
    <n v="1098000"/>
    <x v="253"/>
    <s v="no"/>
    <x v="0"/>
  </r>
  <r>
    <n v="1255"/>
    <s v="Harsh Patel"/>
    <s v="Male"/>
    <n v="32"/>
    <x v="6"/>
    <x v="2"/>
    <x v="6"/>
    <x v="5"/>
    <s v="Rohit Singh"/>
    <s v="Central Showroom"/>
    <x v="219"/>
    <s v="Debit Card"/>
    <s v="SBI"/>
    <s v="No"/>
    <n v="3"/>
    <s v="Bajaj Allianz"/>
    <n v="6"/>
    <n v="290293"/>
    <n v="1098000"/>
    <x v="254"/>
    <s v="no"/>
    <x v="0"/>
  </r>
  <r>
    <n v="1256"/>
    <s v="Priya Shah"/>
    <s v="Male"/>
    <n v="55"/>
    <x v="2"/>
    <x v="1"/>
    <x v="6"/>
    <x v="5"/>
    <s v="Vivek Sharma"/>
    <s v="City Mall Branch"/>
    <x v="192"/>
    <s v="Credit Card"/>
    <s v="HDFC Bank"/>
    <s v="No"/>
    <n v="2"/>
    <s v="Bajaj Allianz"/>
    <n v="9"/>
    <n v="265715"/>
    <n v="5760000"/>
    <x v="255"/>
    <s v="yes"/>
    <x v="2"/>
  </r>
  <r>
    <n v="1257"/>
    <s v="Neha Verma"/>
    <s v="Female"/>
    <n v="29"/>
    <x v="0"/>
    <x v="1"/>
    <x v="1"/>
    <x v="1"/>
    <s v="Amit Patel"/>
    <s v="City Mall Branch"/>
    <x v="220"/>
    <s v="Debit Card"/>
    <s v="Axis Bank"/>
    <s v="No"/>
    <n v="2"/>
    <s v="Bajaj Allianz"/>
    <n v="6"/>
    <n v="193275"/>
    <n v="756000"/>
    <x v="256"/>
    <s v="no"/>
    <x v="0"/>
  </r>
  <r>
    <n v="1258"/>
    <s v="Harsh Patel"/>
    <s v="Female"/>
    <n v="34"/>
    <x v="5"/>
    <x v="0"/>
    <x v="3"/>
    <x v="2"/>
    <s v="Amit Patel"/>
    <s v="Premium Lounge"/>
    <x v="221"/>
    <s v="Bank Loan"/>
    <s v="ICICI Bank"/>
    <s v="No"/>
    <n v="2"/>
    <s v="Bajaj Allianz"/>
    <n v="21"/>
    <n v="101719"/>
    <n v="1224000"/>
    <x v="257"/>
    <s v="no"/>
    <x v="0"/>
  </r>
  <r>
    <n v="1259"/>
    <s v="Mohit Gupta"/>
    <s v="Female"/>
    <n v="57"/>
    <x v="3"/>
    <x v="1"/>
    <x v="4"/>
    <x v="3"/>
    <s v="Rohit Singh"/>
    <s v="Highway Branch"/>
    <x v="222"/>
    <s v="Bank Loan"/>
    <s v="HDFC Bank"/>
    <s v="No"/>
    <n v="2"/>
    <s v="ICICI Lombard"/>
    <n v="9"/>
    <n v="244801"/>
    <n v="2250000"/>
    <x v="258"/>
    <s v="no"/>
    <x v="1"/>
  </r>
  <r>
    <n v="1260"/>
    <s v="Rohit Kumar"/>
    <s v="Female"/>
    <n v="25"/>
    <x v="3"/>
    <x v="2"/>
    <x v="0"/>
    <x v="0"/>
    <s v="Rohit Singh"/>
    <s v="City Mall Branch"/>
    <x v="223"/>
    <s v="Credit Card"/>
    <s v="Axis Bank"/>
    <s v="Yes"/>
    <n v="4"/>
    <s v="Bajaj Allianz"/>
    <n v="20"/>
    <n v="53646"/>
    <n v="2250000"/>
    <x v="259"/>
    <s v="no"/>
    <x v="1"/>
  </r>
  <r>
    <n v="1261"/>
    <s v="Aman Jain"/>
    <s v="Male"/>
    <n v="37"/>
    <x v="1"/>
    <x v="3"/>
    <x v="2"/>
    <x v="0"/>
    <s v="Amit Patel"/>
    <s v="City Mall Branch"/>
    <x v="224"/>
    <s v="Bank Loan"/>
    <s v="SBI"/>
    <s v="No"/>
    <n v="5"/>
    <s v="Bajaj Allianz"/>
    <n v="8"/>
    <n v="258381"/>
    <n v="1764000"/>
    <x v="260"/>
    <s v="yes"/>
    <x v="1"/>
  </r>
  <r>
    <n v="1262"/>
    <s v="Vikas Joshi"/>
    <s v="Male"/>
    <n v="30"/>
    <x v="9"/>
    <x v="1"/>
    <x v="9"/>
    <x v="6"/>
    <s v="Kunal Mehta"/>
    <s v="Highway Branch"/>
    <x v="225"/>
    <s v="Cash"/>
    <s v="SBI"/>
    <s v="No"/>
    <n v="3"/>
    <s v="HDFC Ergo"/>
    <n v="20"/>
    <n v="289250"/>
    <n v="1350000"/>
    <x v="261"/>
    <s v="no"/>
    <x v="0"/>
  </r>
  <r>
    <n v="1263"/>
    <s v="Rohit Kumar"/>
    <s v="Female"/>
    <n v="36"/>
    <x v="1"/>
    <x v="3"/>
    <x v="6"/>
    <x v="5"/>
    <s v="Suresh Iyer"/>
    <s v="Highway Branch"/>
    <x v="101"/>
    <s v="UPI"/>
    <s v="Axis Bank"/>
    <s v="Yes"/>
    <n v="3"/>
    <s v="ICICI Lombard"/>
    <n v="16"/>
    <n v="94911"/>
    <n v="1764000"/>
    <x v="262"/>
    <s v="yes"/>
    <x v="1"/>
  </r>
  <r>
    <n v="1264"/>
    <s v="Rahul Sharma"/>
    <s v="Female"/>
    <n v="45"/>
    <x v="1"/>
    <x v="0"/>
    <x v="3"/>
    <x v="2"/>
    <s v="Vivek Sharma"/>
    <s v="Central Showroom"/>
    <x v="226"/>
    <s v="Bank Loan"/>
    <s v="Kotak Bank"/>
    <s v="Yes"/>
    <n v="2"/>
    <s v="ICICI Lombard"/>
    <n v="11"/>
    <n v="77848"/>
    <n v="1764000"/>
    <x v="263"/>
    <s v="yes"/>
    <x v="1"/>
  </r>
  <r>
    <n v="1265"/>
    <s v="Pooja Malhotra"/>
    <s v="Female"/>
    <n v="48"/>
    <x v="0"/>
    <x v="3"/>
    <x v="9"/>
    <x v="6"/>
    <s v="Rohit Singh"/>
    <s v="City Mall Branch"/>
    <x v="227"/>
    <s v="Cash"/>
    <s v="Kotak Bank"/>
    <s v="Yes"/>
    <n v="5"/>
    <s v="Tata AIG"/>
    <n v="9"/>
    <n v="64181"/>
    <n v="756000"/>
    <x v="264"/>
    <s v="no"/>
    <x v="0"/>
  </r>
  <r>
    <n v="1266"/>
    <s v="Harsh Patel"/>
    <s v="Female"/>
    <n v="55"/>
    <x v="2"/>
    <x v="2"/>
    <x v="2"/>
    <x v="0"/>
    <s v="Kunal Mehta"/>
    <s v="Premium Lounge"/>
    <x v="117"/>
    <s v="Credit Card"/>
    <s v="Axis Bank"/>
    <s v="Yes"/>
    <n v="2"/>
    <s v="Tata AIG"/>
    <n v="16"/>
    <n v="99668"/>
    <n v="5760000"/>
    <x v="265"/>
    <s v="yes"/>
    <x v="2"/>
  </r>
  <r>
    <n v="1267"/>
    <s v="Pooja Malhotra"/>
    <s v="Male"/>
    <n v="39"/>
    <x v="1"/>
    <x v="1"/>
    <x v="9"/>
    <x v="6"/>
    <s v="Kunal Mehta"/>
    <s v="Premium Lounge"/>
    <x v="228"/>
    <s v="Cash"/>
    <s v="ICICI Bank"/>
    <s v="No"/>
    <n v="4"/>
    <s v="Tata AIG"/>
    <n v="10"/>
    <n v="198785"/>
    <n v="1764000"/>
    <x v="266"/>
    <s v="yes"/>
    <x v="1"/>
  </r>
  <r>
    <n v="1268"/>
    <s v="Nitin Agarwal"/>
    <s v="Female"/>
    <n v="26"/>
    <x v="7"/>
    <x v="1"/>
    <x v="0"/>
    <x v="0"/>
    <s v="Amit Patel"/>
    <s v="Central Showroom"/>
    <x v="229"/>
    <s v="UPI"/>
    <s v="HDFC Bank"/>
    <s v="No"/>
    <n v="5"/>
    <s v="HDFC Ergo"/>
    <n v="10"/>
    <n v="128524"/>
    <n v="702000"/>
    <x v="267"/>
    <s v="no"/>
    <x v="3"/>
  </r>
  <r>
    <n v="1269"/>
    <s v="Pooja Malhotra"/>
    <s v="Male"/>
    <n v="56"/>
    <x v="5"/>
    <x v="0"/>
    <x v="0"/>
    <x v="0"/>
    <s v="Vivek Sharma"/>
    <s v="City Mall Branch"/>
    <x v="230"/>
    <s v="Credit Card"/>
    <s v="ICICI Bank"/>
    <s v="Yes"/>
    <n v="4"/>
    <s v="Bajaj Allianz"/>
    <n v="6"/>
    <n v="70869"/>
    <n v="1224000"/>
    <x v="268"/>
    <s v="no"/>
    <x v="0"/>
  </r>
  <r>
    <n v="1270"/>
    <s v="Riya Kapoor"/>
    <s v="Female"/>
    <n v="52"/>
    <x v="1"/>
    <x v="0"/>
    <x v="4"/>
    <x v="3"/>
    <s v="Suresh Iyer"/>
    <s v="Premium Lounge"/>
    <x v="138"/>
    <s v="Cash"/>
    <s v="SBI"/>
    <s v="Yes"/>
    <n v="4"/>
    <s v="HDFC Ergo"/>
    <n v="16"/>
    <n v="298945"/>
    <n v="1764000"/>
    <x v="269"/>
    <s v="yes"/>
    <x v="1"/>
  </r>
  <r>
    <n v="1271"/>
    <s v="Vikas Joshi"/>
    <s v="Male"/>
    <n v="46"/>
    <x v="5"/>
    <x v="3"/>
    <x v="3"/>
    <x v="2"/>
    <s v="Kunal Mehta"/>
    <s v="Central Showroom"/>
    <x v="231"/>
    <s v="Bank Loan"/>
    <s v="HDFC Bank"/>
    <s v="Yes"/>
    <n v="2"/>
    <s v="Tata AIG"/>
    <n v="13"/>
    <n v="230302"/>
    <n v="1224000"/>
    <x v="270"/>
    <s v="no"/>
    <x v="0"/>
  </r>
  <r>
    <n v="1272"/>
    <s v="Aman Jain"/>
    <s v="Female"/>
    <n v="43"/>
    <x v="5"/>
    <x v="3"/>
    <x v="6"/>
    <x v="5"/>
    <s v="Kunal Mehta"/>
    <s v="Premium Lounge"/>
    <x v="232"/>
    <s v="Debit Card"/>
    <s v="Axis Bank"/>
    <s v="Yes"/>
    <n v="5"/>
    <s v="Bajaj Allianz"/>
    <n v="9"/>
    <n v="127654"/>
    <n v="1224000"/>
    <x v="271"/>
    <s v="no"/>
    <x v="0"/>
  </r>
  <r>
    <n v="1273"/>
    <s v="Priya Shah"/>
    <s v="Male"/>
    <n v="58"/>
    <x v="4"/>
    <x v="1"/>
    <x v="3"/>
    <x v="2"/>
    <s v="Amit Patel"/>
    <s v="Central Showroom"/>
    <x v="233"/>
    <s v="Bank Loan"/>
    <s v="Axis Bank"/>
    <s v="No"/>
    <n v="4"/>
    <s v="ICICI Lombard"/>
    <n v="12"/>
    <n v="221780"/>
    <n v="846000"/>
    <x v="272"/>
    <s v="no"/>
    <x v="0"/>
  </r>
  <r>
    <n v="1274"/>
    <s v="Mohit Gupta"/>
    <s v="Female"/>
    <n v="41"/>
    <x v="2"/>
    <x v="3"/>
    <x v="9"/>
    <x v="6"/>
    <s v="Kunal Mehta"/>
    <s v="City Mall Branch"/>
    <x v="234"/>
    <s v="Cash"/>
    <s v="HDFC Bank"/>
    <s v="No"/>
    <n v="3"/>
    <s v="Bajaj Allianz"/>
    <n v="16"/>
    <n v="87432"/>
    <n v="5760000"/>
    <x v="273"/>
    <s v="yes"/>
    <x v="2"/>
  </r>
  <r>
    <n v="1275"/>
    <s v="Vikas Joshi"/>
    <s v="Male"/>
    <n v="57"/>
    <x v="6"/>
    <x v="1"/>
    <x v="7"/>
    <x v="0"/>
    <s v="Kunal Mehta"/>
    <s v="Premium Lounge"/>
    <x v="148"/>
    <s v="Bank Loan"/>
    <s v="ICICI Bank"/>
    <s v="Yes"/>
    <n v="2"/>
    <s v="ICICI Lombard"/>
    <n v="15"/>
    <n v="158985"/>
    <n v="1098000"/>
    <x v="274"/>
    <s v="no"/>
    <x v="0"/>
  </r>
  <r>
    <n v="1276"/>
    <s v="Suresh Nair"/>
    <s v="Female"/>
    <n v="41"/>
    <x v="4"/>
    <x v="0"/>
    <x v="1"/>
    <x v="1"/>
    <s v="Vivek Sharma"/>
    <s v="Highway Branch"/>
    <x v="235"/>
    <s v="Debit Card"/>
    <s v="Kotak Bank"/>
    <s v="No"/>
    <n v="2"/>
    <s v="ICICI Lombard"/>
    <n v="17"/>
    <n v="112826"/>
    <n v="846000"/>
    <x v="275"/>
    <s v="no"/>
    <x v="0"/>
  </r>
  <r>
    <n v="1277"/>
    <s v="Suresh Nair"/>
    <s v="Female"/>
    <n v="59"/>
    <x v="7"/>
    <x v="1"/>
    <x v="4"/>
    <x v="3"/>
    <s v="Vivek Sharma"/>
    <s v="City Mall Branch"/>
    <x v="236"/>
    <s v="Debit Card"/>
    <s v="HDFC Bank"/>
    <s v="No"/>
    <n v="5"/>
    <s v="Bajaj Allianz"/>
    <n v="21"/>
    <n v="71163"/>
    <n v="702000"/>
    <x v="276"/>
    <s v="no"/>
    <x v="0"/>
  </r>
  <r>
    <n v="1278"/>
    <s v="Riya Kapoor"/>
    <s v="Male"/>
    <n v="45"/>
    <x v="0"/>
    <x v="2"/>
    <x v="9"/>
    <x v="6"/>
    <s v="Vivek Sharma"/>
    <s v="Highway Branch"/>
    <x v="237"/>
    <s v="UPI"/>
    <s v="Kotak Bank"/>
    <s v="Yes"/>
    <n v="2"/>
    <s v="Bajaj Allianz"/>
    <n v="20"/>
    <n v="256817"/>
    <n v="756000"/>
    <x v="277"/>
    <s v="no"/>
    <x v="0"/>
  </r>
  <r>
    <n v="1279"/>
    <s v="Harsh Patel"/>
    <s v="Female"/>
    <n v="30"/>
    <x v="7"/>
    <x v="3"/>
    <x v="6"/>
    <x v="5"/>
    <s v="Rohit Singh"/>
    <s v="Highway Branch"/>
    <x v="238"/>
    <s v="Cash"/>
    <s v="Kotak Bank"/>
    <s v="No"/>
    <n v="3"/>
    <s v="Tata AIG"/>
    <n v="23"/>
    <n v="265449"/>
    <n v="702000"/>
    <x v="278"/>
    <s v="no"/>
    <x v="3"/>
  </r>
  <r>
    <n v="1280"/>
    <s v="Priya Shah"/>
    <s v="Male"/>
    <n v="49"/>
    <x v="6"/>
    <x v="3"/>
    <x v="2"/>
    <x v="0"/>
    <s v="Kunal Mehta"/>
    <s v="City Mall Branch"/>
    <x v="239"/>
    <s v="Credit Card"/>
    <s v="HDFC Bank"/>
    <s v="Yes"/>
    <n v="4"/>
    <s v="HDFC Ergo"/>
    <n v="23"/>
    <n v="149591"/>
    <n v="1098000"/>
    <x v="279"/>
    <s v="no"/>
    <x v="0"/>
  </r>
  <r>
    <n v="1281"/>
    <s v="Harsh Patel"/>
    <s v="Female"/>
    <n v="33"/>
    <x v="1"/>
    <x v="0"/>
    <x v="8"/>
    <x v="6"/>
    <s v="Amit Patel"/>
    <s v="Highway Branch"/>
    <x v="240"/>
    <s v="Cash"/>
    <s v="HDFC Bank"/>
    <s v="No"/>
    <n v="2"/>
    <s v="Tata AIG"/>
    <n v="18"/>
    <n v="249088"/>
    <n v="1764000"/>
    <x v="280"/>
    <s v="yes"/>
    <x v="1"/>
  </r>
  <r>
    <n v="1282"/>
    <s v="Mohit Gupta"/>
    <s v="Female"/>
    <n v="55"/>
    <x v="2"/>
    <x v="0"/>
    <x v="0"/>
    <x v="0"/>
    <s v="Rohit Singh"/>
    <s v="Premium Lounge"/>
    <x v="57"/>
    <s v="Cash"/>
    <s v="Axis Bank"/>
    <s v="No"/>
    <n v="3"/>
    <s v="HDFC Ergo"/>
    <n v="19"/>
    <n v="102017"/>
    <n v="5760000"/>
    <x v="281"/>
    <s v="yes"/>
    <x v="2"/>
  </r>
  <r>
    <n v="1283"/>
    <s v="Rahul Sharma"/>
    <s v="Male"/>
    <n v="30"/>
    <x v="4"/>
    <x v="2"/>
    <x v="0"/>
    <x v="0"/>
    <s v="Suresh Iyer"/>
    <s v="Highway Branch"/>
    <x v="163"/>
    <s v="Debit Card"/>
    <s v="Axis Bank"/>
    <s v="No"/>
    <n v="5"/>
    <s v="HDFC Ergo"/>
    <n v="13"/>
    <n v="67176"/>
    <n v="846000"/>
    <x v="282"/>
    <s v="no"/>
    <x v="0"/>
  </r>
  <r>
    <n v="1284"/>
    <s v="Rahul Sharma"/>
    <s v="Male"/>
    <n v="49"/>
    <x v="0"/>
    <x v="3"/>
    <x v="1"/>
    <x v="1"/>
    <s v="Rohit Singh"/>
    <s v="Central Showroom"/>
    <x v="241"/>
    <s v="Credit Card"/>
    <s v="Kotak Bank"/>
    <s v="Yes"/>
    <n v="2"/>
    <s v="Bajaj Allianz"/>
    <n v="23"/>
    <n v="58194"/>
    <n v="756000"/>
    <x v="283"/>
    <s v="no"/>
    <x v="0"/>
  </r>
  <r>
    <n v="1285"/>
    <s v="Priya Shah"/>
    <s v="Female"/>
    <n v="44"/>
    <x v="1"/>
    <x v="0"/>
    <x v="5"/>
    <x v="4"/>
    <s v="Suresh Iyer"/>
    <s v="Highway Branch"/>
    <x v="242"/>
    <s v="Cash"/>
    <s v="Axis Bank"/>
    <s v="Yes"/>
    <n v="5"/>
    <s v="Tata AIG"/>
    <n v="6"/>
    <n v="209767"/>
    <n v="1764000"/>
    <x v="284"/>
    <s v="yes"/>
    <x v="1"/>
  </r>
  <r>
    <n v="1286"/>
    <s v="Sneha Desai"/>
    <s v="Female"/>
    <n v="45"/>
    <x v="3"/>
    <x v="0"/>
    <x v="3"/>
    <x v="2"/>
    <s v="Suresh Iyer"/>
    <s v="Highway Branch"/>
    <x v="243"/>
    <s v="UPI"/>
    <s v="SBI"/>
    <s v="Yes"/>
    <n v="5"/>
    <s v="ICICI Lombard"/>
    <n v="6"/>
    <n v="221318"/>
    <n v="2250000"/>
    <x v="285"/>
    <s v="no"/>
    <x v="1"/>
  </r>
  <r>
    <n v="1287"/>
    <s v="Nitin Agarwal"/>
    <s v="Male"/>
    <n v="49"/>
    <x v="4"/>
    <x v="0"/>
    <x v="7"/>
    <x v="0"/>
    <s v="Vivek Sharma"/>
    <s v="Premium Lounge"/>
    <x v="244"/>
    <s v="Cash"/>
    <s v="SBI"/>
    <s v="No"/>
    <n v="4"/>
    <s v="Tata AIG"/>
    <n v="17"/>
    <n v="256535"/>
    <n v="846000"/>
    <x v="286"/>
    <s v="no"/>
    <x v="0"/>
  </r>
  <r>
    <n v="1288"/>
    <s v="Ankit Mehta"/>
    <s v="Male"/>
    <n v="55"/>
    <x v="2"/>
    <x v="0"/>
    <x v="0"/>
    <x v="0"/>
    <s v="Rohit Singh"/>
    <s v="Central Showroom"/>
    <x v="245"/>
    <s v="UPI"/>
    <s v="SBI"/>
    <s v="No"/>
    <n v="5"/>
    <s v="Bajaj Allianz"/>
    <n v="12"/>
    <n v="191783"/>
    <n v="5760000"/>
    <x v="287"/>
    <s v="yes"/>
    <x v="2"/>
  </r>
  <r>
    <n v="1289"/>
    <s v="Kavita Shah"/>
    <s v="Female"/>
    <n v="41"/>
    <x v="8"/>
    <x v="1"/>
    <x v="8"/>
    <x v="6"/>
    <s v="Rohit Singh"/>
    <s v="Premium Lounge"/>
    <x v="246"/>
    <s v="Debit Card"/>
    <s v="HDFC Bank"/>
    <s v="No"/>
    <n v="4"/>
    <s v="Bajaj Allianz"/>
    <n v="20"/>
    <n v="183325"/>
    <n v="936000"/>
    <x v="288"/>
    <s v="no"/>
    <x v="0"/>
  </r>
  <r>
    <n v="1290"/>
    <s v="Riya Kapoor"/>
    <s v="Female"/>
    <n v="28"/>
    <x v="5"/>
    <x v="2"/>
    <x v="0"/>
    <x v="0"/>
    <s v="Rohit Singh"/>
    <s v="City Mall Branch"/>
    <x v="247"/>
    <s v="UPI"/>
    <s v="Kotak Bank"/>
    <s v="No"/>
    <n v="4"/>
    <s v="ICICI Lombard"/>
    <n v="22"/>
    <n v="95412"/>
    <n v="1224000"/>
    <x v="289"/>
    <s v="no"/>
    <x v="0"/>
  </r>
  <r>
    <n v="1291"/>
    <s v="Rohit Kumar"/>
    <s v="Female"/>
    <n v="42"/>
    <x v="4"/>
    <x v="0"/>
    <x v="1"/>
    <x v="1"/>
    <s v="Rohit Singh"/>
    <s v="Premium Lounge"/>
    <x v="248"/>
    <s v="UPI"/>
    <s v="HDFC Bank"/>
    <s v="Yes"/>
    <n v="5"/>
    <s v="Tata AIG"/>
    <n v="9"/>
    <n v="220795"/>
    <n v="846000"/>
    <x v="290"/>
    <s v="no"/>
    <x v="0"/>
  </r>
  <r>
    <n v="1292"/>
    <s v="Rahul Sharma"/>
    <s v="Male"/>
    <n v="25"/>
    <x v="2"/>
    <x v="0"/>
    <x v="5"/>
    <x v="4"/>
    <s v="Kunal Mehta"/>
    <s v="City Mall Branch"/>
    <x v="123"/>
    <s v="Cash"/>
    <s v="SBI"/>
    <s v="Yes"/>
    <n v="2"/>
    <s v="Bajaj Allianz"/>
    <n v="19"/>
    <n v="230594"/>
    <n v="5760000"/>
    <x v="291"/>
    <s v="yes"/>
    <x v="2"/>
  </r>
  <r>
    <n v="1293"/>
    <s v="Harsh Patel"/>
    <s v="Female"/>
    <n v="51"/>
    <x v="5"/>
    <x v="3"/>
    <x v="5"/>
    <x v="4"/>
    <s v="Suresh Iyer"/>
    <s v="Central Showroom"/>
    <x v="249"/>
    <s v="UPI"/>
    <s v="SBI"/>
    <s v="Yes"/>
    <n v="4"/>
    <s v="HDFC Ergo"/>
    <n v="8"/>
    <n v="193139"/>
    <n v="1224000"/>
    <x v="292"/>
    <s v="no"/>
    <x v="0"/>
  </r>
  <r>
    <n v="1294"/>
    <s v="Harsh Patel"/>
    <s v="Male"/>
    <n v="43"/>
    <x v="9"/>
    <x v="1"/>
    <x v="9"/>
    <x v="6"/>
    <s v="Vivek Sharma"/>
    <s v="City Mall Branch"/>
    <x v="250"/>
    <s v="Cash"/>
    <s v="Kotak Bank"/>
    <s v="Yes"/>
    <n v="5"/>
    <s v="Bajaj Allianz"/>
    <n v="25"/>
    <n v="151413"/>
    <n v="1350000"/>
    <x v="293"/>
    <s v="no"/>
    <x v="0"/>
  </r>
  <r>
    <n v="1295"/>
    <s v="Ankit Mehta"/>
    <s v="Female"/>
    <n v="56"/>
    <x v="0"/>
    <x v="1"/>
    <x v="4"/>
    <x v="3"/>
    <s v="Kunal Mehta"/>
    <s v="City Mall Branch"/>
    <x v="251"/>
    <s v="Bank Loan"/>
    <s v="Axis Bank"/>
    <s v="Yes"/>
    <n v="3"/>
    <s v="Bajaj Allianz"/>
    <n v="20"/>
    <n v="74501"/>
    <n v="756000"/>
    <x v="294"/>
    <s v="no"/>
    <x v="0"/>
  </r>
  <r>
    <n v="1296"/>
    <s v="Rahul Sharma"/>
    <s v="Male"/>
    <n v="56"/>
    <x v="0"/>
    <x v="3"/>
    <x v="9"/>
    <x v="6"/>
    <s v="Amit Patel"/>
    <s v="Central Showroom"/>
    <x v="252"/>
    <s v="Credit Card"/>
    <s v="HDFC Bank"/>
    <s v="Yes"/>
    <n v="3"/>
    <s v="ICICI Lombard"/>
    <n v="21"/>
    <n v="54166"/>
    <n v="756000"/>
    <x v="295"/>
    <s v="no"/>
    <x v="0"/>
  </r>
  <r>
    <n v="1297"/>
    <s v="Neha Verma"/>
    <s v="Male"/>
    <n v="46"/>
    <x v="4"/>
    <x v="3"/>
    <x v="1"/>
    <x v="1"/>
    <s v="Amit Patel"/>
    <s v="Central Showroom"/>
    <x v="253"/>
    <s v="Credit Card"/>
    <s v="ICICI Bank"/>
    <s v="Yes"/>
    <n v="2"/>
    <s v="ICICI Lombard"/>
    <n v="7"/>
    <n v="201611"/>
    <n v="846000"/>
    <x v="296"/>
    <s v="no"/>
    <x v="0"/>
  </r>
  <r>
    <n v="1298"/>
    <s v="Nitin Agarwal"/>
    <s v="Female"/>
    <n v="50"/>
    <x v="5"/>
    <x v="1"/>
    <x v="1"/>
    <x v="1"/>
    <s v="Rohit Singh"/>
    <s v="Premium Lounge"/>
    <x v="254"/>
    <s v="Cash"/>
    <s v="HDFC Bank"/>
    <s v="Yes"/>
    <n v="5"/>
    <s v="Bajaj Allianz"/>
    <n v="13"/>
    <n v="141147"/>
    <n v="1224000"/>
    <x v="297"/>
    <s v="no"/>
    <x v="0"/>
  </r>
  <r>
    <n v="1299"/>
    <s v="Neha Verma"/>
    <s v="Female"/>
    <n v="60"/>
    <x v="7"/>
    <x v="1"/>
    <x v="7"/>
    <x v="0"/>
    <s v="Amit Patel"/>
    <s v="City Mall Branch"/>
    <x v="255"/>
    <s v="Debit Card"/>
    <s v="Axis Bank"/>
    <s v="No"/>
    <n v="5"/>
    <s v="ICICI Lombard"/>
    <n v="12"/>
    <n v="205242"/>
    <n v="702000"/>
    <x v="298"/>
    <s v="no"/>
    <x v="3"/>
  </r>
  <r>
    <n v="1300"/>
    <s v="Sneha Desai"/>
    <s v="Male"/>
    <n v="57"/>
    <x v="2"/>
    <x v="3"/>
    <x v="8"/>
    <x v="6"/>
    <s v="Suresh Iyer"/>
    <s v="Premium Lounge"/>
    <x v="256"/>
    <s v="UPI"/>
    <s v="SBI"/>
    <s v="Yes"/>
    <n v="4"/>
    <s v="ICICI Lombard"/>
    <n v="11"/>
    <n v="115036"/>
    <n v="5760000"/>
    <x v="299"/>
    <s v="yes"/>
    <x v="2"/>
  </r>
  <r>
    <n v="1301"/>
    <s v="Neha Verma"/>
    <s v="Male"/>
    <n v="49"/>
    <x v="8"/>
    <x v="3"/>
    <x v="0"/>
    <x v="0"/>
    <s v="Suresh Iyer"/>
    <s v="City Mall Branch"/>
    <x v="257"/>
    <s v="Credit Card"/>
    <s v="SBI"/>
    <s v="Yes"/>
    <n v="3"/>
    <s v="Tata AIG"/>
    <n v="14"/>
    <n v="166559"/>
    <n v="936000"/>
    <x v="300"/>
    <s v="no"/>
    <x v="0"/>
  </r>
  <r>
    <n v="1302"/>
    <s v="Priya Shah"/>
    <s v="Female"/>
    <n v="59"/>
    <x v="6"/>
    <x v="1"/>
    <x v="7"/>
    <x v="0"/>
    <s v="Suresh Iyer"/>
    <s v="Central Showroom"/>
    <x v="258"/>
    <s v="Cash"/>
    <s v="Axis Bank"/>
    <s v="Yes"/>
    <n v="5"/>
    <s v="ICICI Lombard"/>
    <n v="11"/>
    <n v="227723"/>
    <n v="1098000"/>
    <x v="301"/>
    <s v="no"/>
    <x v="0"/>
  </r>
  <r>
    <n v="1303"/>
    <s v="Rahul Sharma"/>
    <s v="Male"/>
    <n v="38"/>
    <x v="6"/>
    <x v="0"/>
    <x v="8"/>
    <x v="6"/>
    <s v="Vivek Sharma"/>
    <s v="Highway Branch"/>
    <x v="259"/>
    <s v="Debit Card"/>
    <s v="SBI"/>
    <s v="No"/>
    <n v="2"/>
    <s v="Tata AIG"/>
    <n v="7"/>
    <n v="183977"/>
    <n v="1098000"/>
    <x v="302"/>
    <s v="no"/>
    <x v="0"/>
  </r>
  <r>
    <n v="1304"/>
    <s v="Nitin Agarwal"/>
    <s v="Female"/>
    <n v="29"/>
    <x v="6"/>
    <x v="1"/>
    <x v="1"/>
    <x v="1"/>
    <s v="Vivek Sharma"/>
    <s v="Premium Lounge"/>
    <x v="246"/>
    <s v="Cash"/>
    <s v="SBI"/>
    <s v="No"/>
    <n v="2"/>
    <s v="HDFC Ergo"/>
    <n v="22"/>
    <n v="110317"/>
    <n v="1098000"/>
    <x v="303"/>
    <s v="no"/>
    <x v="0"/>
  </r>
  <r>
    <n v="1305"/>
    <s v="Riya Kapoor"/>
    <s v="Male"/>
    <n v="41"/>
    <x v="3"/>
    <x v="1"/>
    <x v="8"/>
    <x v="6"/>
    <s v="Rohit Singh"/>
    <s v="Central Showroom"/>
    <x v="246"/>
    <s v="UPI"/>
    <s v="SBI"/>
    <s v="No"/>
    <n v="2"/>
    <s v="HDFC Ergo"/>
    <n v="9"/>
    <n v="190470"/>
    <n v="2250000"/>
    <x v="304"/>
    <s v="no"/>
    <x v="1"/>
  </r>
  <r>
    <n v="1306"/>
    <s v="Harsh Patel"/>
    <s v="Male"/>
    <n v="54"/>
    <x v="0"/>
    <x v="0"/>
    <x v="8"/>
    <x v="6"/>
    <s v="Kunal Mehta"/>
    <s v="Premium Lounge"/>
    <x v="260"/>
    <s v="Debit Card"/>
    <s v="HDFC Bank"/>
    <s v="Yes"/>
    <n v="5"/>
    <s v="ICICI Lombard"/>
    <n v="20"/>
    <n v="298120"/>
    <n v="756000"/>
    <x v="305"/>
    <s v="no"/>
    <x v="0"/>
  </r>
  <r>
    <n v="1307"/>
    <s v="Suresh Nair"/>
    <s v="Male"/>
    <n v="49"/>
    <x v="9"/>
    <x v="0"/>
    <x v="3"/>
    <x v="2"/>
    <s v="Kunal Mehta"/>
    <s v="Premium Lounge"/>
    <x v="241"/>
    <s v="Debit Card"/>
    <s v="HDFC Bank"/>
    <s v="No"/>
    <n v="3"/>
    <s v="Tata AIG"/>
    <n v="9"/>
    <n v="189708"/>
    <n v="1350000"/>
    <x v="306"/>
    <s v="no"/>
    <x v="0"/>
  </r>
  <r>
    <n v="1308"/>
    <s v="Ankit Mehta"/>
    <s v="Female"/>
    <n v="50"/>
    <x v="2"/>
    <x v="0"/>
    <x v="3"/>
    <x v="2"/>
    <s v="Kunal Mehta"/>
    <s v="Central Showroom"/>
    <x v="261"/>
    <s v="Cash"/>
    <s v="Kotak Bank"/>
    <s v="Yes"/>
    <n v="4"/>
    <s v="Tata AIG"/>
    <n v="19"/>
    <n v="125135"/>
    <n v="5760000"/>
    <x v="307"/>
    <s v="yes"/>
    <x v="2"/>
  </r>
  <r>
    <n v="1309"/>
    <s v="Aman Jain"/>
    <s v="Female"/>
    <n v="33"/>
    <x v="9"/>
    <x v="3"/>
    <x v="6"/>
    <x v="5"/>
    <s v="Kunal Mehta"/>
    <s v="City Mall Branch"/>
    <x v="262"/>
    <s v="Credit Card"/>
    <s v="SBI"/>
    <s v="Yes"/>
    <n v="3"/>
    <s v="HDFC Ergo"/>
    <n v="21"/>
    <n v="176100"/>
    <n v="1350000"/>
    <x v="308"/>
    <s v="no"/>
    <x v="0"/>
  </r>
  <r>
    <n v="1310"/>
    <s v="Suresh Nair"/>
    <s v="Female"/>
    <n v="31"/>
    <x v="9"/>
    <x v="0"/>
    <x v="4"/>
    <x v="3"/>
    <s v="Suresh Iyer"/>
    <s v="Central Showroom"/>
    <x v="114"/>
    <s v="UPI"/>
    <s v="Axis Bank"/>
    <s v="No"/>
    <n v="2"/>
    <s v="ICICI Lombard"/>
    <n v="25"/>
    <n v="57020"/>
    <n v="1350000"/>
    <x v="309"/>
    <s v="no"/>
    <x v="0"/>
  </r>
  <r>
    <n v="1311"/>
    <s v="Priya Shah"/>
    <s v="Female"/>
    <n v="50"/>
    <x v="7"/>
    <x v="2"/>
    <x v="5"/>
    <x v="4"/>
    <s v="Kunal Mehta"/>
    <s v="Highway Branch"/>
    <x v="263"/>
    <s v="Credit Card"/>
    <s v="HDFC Bank"/>
    <s v="Yes"/>
    <n v="3"/>
    <s v="Tata AIG"/>
    <n v="22"/>
    <n v="235229"/>
    <n v="702000"/>
    <x v="310"/>
    <s v="no"/>
    <x v="3"/>
  </r>
  <r>
    <n v="1312"/>
    <s v="Rahul Sharma"/>
    <s v="Male"/>
    <n v="59"/>
    <x v="8"/>
    <x v="0"/>
    <x v="7"/>
    <x v="0"/>
    <s v="Suresh Iyer"/>
    <s v="Highway Branch"/>
    <x v="264"/>
    <s v="UPI"/>
    <s v="Axis Bank"/>
    <s v="Yes"/>
    <n v="2"/>
    <s v="ICICI Lombard"/>
    <n v="5"/>
    <n v="260846"/>
    <n v="936000"/>
    <x v="311"/>
    <s v="no"/>
    <x v="0"/>
  </r>
  <r>
    <n v="1313"/>
    <s v="Sneha Desai"/>
    <s v="Female"/>
    <n v="52"/>
    <x v="6"/>
    <x v="1"/>
    <x v="2"/>
    <x v="0"/>
    <s v="Vivek Sharma"/>
    <s v="City Mall Branch"/>
    <x v="265"/>
    <s v="UPI"/>
    <s v="Axis Bank"/>
    <s v="Yes"/>
    <n v="3"/>
    <s v="ICICI Lombard"/>
    <n v="7"/>
    <n v="179427"/>
    <n v="1098000"/>
    <x v="312"/>
    <s v="no"/>
    <x v="0"/>
  </r>
  <r>
    <n v="1314"/>
    <s v="Harsh Patel"/>
    <s v="Male"/>
    <n v="46"/>
    <x v="5"/>
    <x v="0"/>
    <x v="4"/>
    <x v="3"/>
    <s v="Suresh Iyer"/>
    <s v="City Mall Branch"/>
    <x v="266"/>
    <s v="Credit Card"/>
    <s v="Axis Bank"/>
    <s v="Yes"/>
    <n v="3"/>
    <s v="HDFC Ergo"/>
    <n v="5"/>
    <n v="79754"/>
    <n v="1224000"/>
    <x v="313"/>
    <s v="no"/>
    <x v="0"/>
  </r>
  <r>
    <n v="1315"/>
    <s v="Aman Jain"/>
    <s v="Male"/>
    <n v="49"/>
    <x v="0"/>
    <x v="2"/>
    <x v="9"/>
    <x v="6"/>
    <s v="Rohit Singh"/>
    <s v="Central Showroom"/>
    <x v="267"/>
    <s v="Credit Card"/>
    <s v="Kotak Bank"/>
    <s v="Yes"/>
    <n v="4"/>
    <s v="ICICI Lombard"/>
    <n v="22"/>
    <n v="155517"/>
    <n v="756000"/>
    <x v="314"/>
    <s v="no"/>
    <x v="0"/>
  </r>
  <r>
    <n v="1316"/>
    <s v="Vikas Joshi"/>
    <s v="Female"/>
    <n v="38"/>
    <x v="0"/>
    <x v="2"/>
    <x v="7"/>
    <x v="0"/>
    <s v="Kunal Mehta"/>
    <s v="City Mall Branch"/>
    <x v="264"/>
    <s v="Debit Card"/>
    <s v="SBI"/>
    <s v="Yes"/>
    <n v="2"/>
    <s v="Bajaj Allianz"/>
    <n v="7"/>
    <n v="219721"/>
    <n v="756000"/>
    <x v="315"/>
    <s v="no"/>
    <x v="0"/>
  </r>
  <r>
    <n v="1317"/>
    <s v="Kavita Shah"/>
    <s v="Female"/>
    <n v="45"/>
    <x v="2"/>
    <x v="1"/>
    <x v="7"/>
    <x v="0"/>
    <s v="Vivek Sharma"/>
    <s v="Premium Lounge"/>
    <x v="268"/>
    <s v="Cash"/>
    <s v="SBI"/>
    <s v="No"/>
    <n v="2"/>
    <s v="Tata AIG"/>
    <n v="13"/>
    <n v="164414"/>
    <n v="5760000"/>
    <x v="316"/>
    <s v="yes"/>
    <x v="2"/>
  </r>
  <r>
    <n v="1318"/>
    <s v="Nitin Agarwal"/>
    <s v="Male"/>
    <n v="44"/>
    <x v="2"/>
    <x v="1"/>
    <x v="2"/>
    <x v="0"/>
    <s v="Suresh Iyer"/>
    <s v="City Mall Branch"/>
    <x v="141"/>
    <s v="Bank Loan"/>
    <s v="HDFC Bank"/>
    <s v="No"/>
    <n v="2"/>
    <s v="Tata AIG"/>
    <n v="20"/>
    <n v="156838"/>
    <n v="5760000"/>
    <x v="317"/>
    <s v="yes"/>
    <x v="2"/>
  </r>
  <r>
    <n v="1319"/>
    <s v="Nitin Agarwal"/>
    <s v="Male"/>
    <n v="29"/>
    <x v="0"/>
    <x v="0"/>
    <x v="4"/>
    <x v="3"/>
    <s v="Amit Patel"/>
    <s v="Central Showroom"/>
    <x v="269"/>
    <s v="UPI"/>
    <s v="SBI"/>
    <s v="No"/>
    <n v="5"/>
    <s v="Tata AIG"/>
    <n v="15"/>
    <n v="129788"/>
    <n v="756000"/>
    <x v="318"/>
    <s v="no"/>
    <x v="0"/>
  </r>
  <r>
    <n v="1320"/>
    <s v="Aman Jain"/>
    <s v="Female"/>
    <n v="34"/>
    <x v="7"/>
    <x v="3"/>
    <x v="0"/>
    <x v="0"/>
    <s v="Amit Patel"/>
    <s v="Highway Branch"/>
    <x v="138"/>
    <s v="UPI"/>
    <s v="SBI"/>
    <s v="No"/>
    <n v="4"/>
    <s v="Tata AIG"/>
    <n v="21"/>
    <n v="286839"/>
    <n v="702000"/>
    <x v="319"/>
    <s v="no"/>
    <x v="3"/>
  </r>
  <r>
    <n v="1321"/>
    <s v="Neha Verma"/>
    <s v="Female"/>
    <n v="30"/>
    <x v="9"/>
    <x v="1"/>
    <x v="8"/>
    <x v="6"/>
    <s v="Kunal Mehta"/>
    <s v="City Mall Branch"/>
    <x v="270"/>
    <s v="Debit Card"/>
    <s v="HDFC Bank"/>
    <s v="No"/>
    <n v="4"/>
    <s v="ICICI Lombard"/>
    <n v="7"/>
    <n v="211194"/>
    <n v="1350000"/>
    <x v="320"/>
    <s v="no"/>
    <x v="0"/>
  </r>
  <r>
    <n v="1322"/>
    <s v="Ankit Mehta"/>
    <s v="Female"/>
    <n v="58"/>
    <x v="0"/>
    <x v="1"/>
    <x v="3"/>
    <x v="2"/>
    <s v="Suresh Iyer"/>
    <s v="Premium Lounge"/>
    <x v="271"/>
    <s v="Debit Card"/>
    <s v="HDFC Bank"/>
    <s v="Yes"/>
    <n v="3"/>
    <s v="Bajaj Allianz"/>
    <n v="6"/>
    <n v="103722"/>
    <n v="756000"/>
    <x v="321"/>
    <s v="no"/>
    <x v="0"/>
  </r>
  <r>
    <n v="1323"/>
    <s v="Harsh Patel"/>
    <s v="Male"/>
    <n v="43"/>
    <x v="4"/>
    <x v="0"/>
    <x v="3"/>
    <x v="2"/>
    <s v="Amit Patel"/>
    <s v="Highway Branch"/>
    <x v="272"/>
    <s v="Cash"/>
    <s v="SBI"/>
    <s v="Yes"/>
    <n v="3"/>
    <s v="Bajaj Allianz"/>
    <n v="10"/>
    <n v="115620"/>
    <n v="846000"/>
    <x v="322"/>
    <s v="no"/>
    <x v="0"/>
  </r>
  <r>
    <n v="1324"/>
    <s v="Nitin Agarwal"/>
    <s v="Male"/>
    <n v="30"/>
    <x v="9"/>
    <x v="3"/>
    <x v="2"/>
    <x v="0"/>
    <s v="Kunal Mehta"/>
    <s v="Premium Lounge"/>
    <x v="273"/>
    <s v="UPI"/>
    <s v="Axis Bank"/>
    <s v="Yes"/>
    <n v="3"/>
    <s v="Tata AIG"/>
    <n v="24"/>
    <n v="158308"/>
    <n v="1350000"/>
    <x v="323"/>
    <s v="no"/>
    <x v="0"/>
  </r>
  <r>
    <n v="1325"/>
    <s v="Mohit Gupta"/>
    <s v="Male"/>
    <n v="59"/>
    <x v="9"/>
    <x v="1"/>
    <x v="2"/>
    <x v="0"/>
    <s v="Amit Patel"/>
    <s v="City Mall Branch"/>
    <x v="274"/>
    <s v="Credit Card"/>
    <s v="ICICI Bank"/>
    <s v="No"/>
    <n v="3"/>
    <s v="ICICI Lombard"/>
    <n v="9"/>
    <n v="82215"/>
    <n v="1350000"/>
    <x v="324"/>
    <s v="no"/>
    <x v="0"/>
  </r>
  <r>
    <n v="1326"/>
    <s v="Vikas Joshi"/>
    <s v="Female"/>
    <n v="42"/>
    <x v="2"/>
    <x v="0"/>
    <x v="0"/>
    <x v="0"/>
    <s v="Kunal Mehta"/>
    <s v="Highway Branch"/>
    <x v="275"/>
    <s v="Debit Card"/>
    <s v="ICICI Bank"/>
    <s v="Yes"/>
    <n v="4"/>
    <s v="ICICI Lombard"/>
    <n v="24"/>
    <n v="114175"/>
    <n v="5760000"/>
    <x v="325"/>
    <s v="yes"/>
    <x v="2"/>
  </r>
  <r>
    <n v="1327"/>
    <s v="Suresh Nair"/>
    <s v="Female"/>
    <n v="39"/>
    <x v="9"/>
    <x v="1"/>
    <x v="8"/>
    <x v="6"/>
    <s v="Vivek Sharma"/>
    <s v="Premium Lounge"/>
    <x v="191"/>
    <s v="Bank Loan"/>
    <s v="SBI"/>
    <s v="Yes"/>
    <n v="4"/>
    <s v="HDFC Ergo"/>
    <n v="15"/>
    <n v="291916"/>
    <n v="1350000"/>
    <x v="326"/>
    <s v="no"/>
    <x v="0"/>
  </r>
  <r>
    <n v="1328"/>
    <s v="Rohit Kumar"/>
    <s v="Male"/>
    <n v="35"/>
    <x v="8"/>
    <x v="2"/>
    <x v="3"/>
    <x v="2"/>
    <s v="Vivek Sharma"/>
    <s v="Premium Lounge"/>
    <x v="276"/>
    <s v="Credit Card"/>
    <s v="ICICI Bank"/>
    <s v="Yes"/>
    <n v="2"/>
    <s v="ICICI Lombard"/>
    <n v="12"/>
    <n v="242221"/>
    <n v="936000"/>
    <x v="327"/>
    <s v="no"/>
    <x v="0"/>
  </r>
  <r>
    <n v="1329"/>
    <s v="Kavita Shah"/>
    <s v="Female"/>
    <n v="58"/>
    <x v="3"/>
    <x v="1"/>
    <x v="1"/>
    <x v="1"/>
    <s v="Rohit Singh"/>
    <s v="Premium Lounge"/>
    <x v="277"/>
    <s v="Cash"/>
    <s v="Kotak Bank"/>
    <s v="No"/>
    <n v="4"/>
    <s v="ICICI Lombard"/>
    <n v="6"/>
    <n v="273131"/>
    <n v="2250000"/>
    <x v="328"/>
    <s v="no"/>
    <x v="1"/>
  </r>
  <r>
    <n v="1330"/>
    <s v="Nitin Agarwal"/>
    <s v="Male"/>
    <n v="37"/>
    <x v="4"/>
    <x v="0"/>
    <x v="0"/>
    <x v="0"/>
    <s v="Rohit Singh"/>
    <s v="Central Showroom"/>
    <x v="278"/>
    <s v="Debit Card"/>
    <s v="SBI"/>
    <s v="Yes"/>
    <n v="3"/>
    <s v="Bajaj Allianz"/>
    <n v="10"/>
    <n v="221711"/>
    <n v="846000"/>
    <x v="329"/>
    <s v="no"/>
    <x v="0"/>
  </r>
  <r>
    <n v="1331"/>
    <s v="Sneha Desai"/>
    <s v="Male"/>
    <n v="40"/>
    <x v="0"/>
    <x v="1"/>
    <x v="6"/>
    <x v="5"/>
    <s v="Suresh Iyer"/>
    <s v="Highway Branch"/>
    <x v="279"/>
    <s v="Bank Loan"/>
    <s v="Kotak Bank"/>
    <s v="No"/>
    <n v="4"/>
    <s v="Bajaj Allianz"/>
    <n v="25"/>
    <n v="265664"/>
    <n v="756000"/>
    <x v="330"/>
    <s v="no"/>
    <x v="0"/>
  </r>
  <r>
    <n v="1332"/>
    <s v="Ankit Mehta"/>
    <s v="Female"/>
    <n v="47"/>
    <x v="9"/>
    <x v="3"/>
    <x v="0"/>
    <x v="0"/>
    <s v="Rohit Singh"/>
    <s v="Premium Lounge"/>
    <x v="280"/>
    <s v="Cash"/>
    <s v="Kotak Bank"/>
    <s v="No"/>
    <n v="5"/>
    <s v="HDFC Ergo"/>
    <n v="22"/>
    <n v="119735"/>
    <n v="1350000"/>
    <x v="331"/>
    <s v="no"/>
    <x v="0"/>
  </r>
  <r>
    <n v="1333"/>
    <s v="Mohit Gupta"/>
    <s v="Male"/>
    <n v="51"/>
    <x v="8"/>
    <x v="0"/>
    <x v="6"/>
    <x v="5"/>
    <s v="Rohit Singh"/>
    <s v="Central Showroom"/>
    <x v="281"/>
    <s v="Bank Loan"/>
    <s v="ICICI Bank"/>
    <s v="No"/>
    <n v="2"/>
    <s v="HDFC Ergo"/>
    <n v="6"/>
    <n v="233029"/>
    <n v="936000"/>
    <x v="332"/>
    <s v="no"/>
    <x v="0"/>
  </r>
  <r>
    <n v="1334"/>
    <s v="Kavita Shah"/>
    <s v="Male"/>
    <n v="45"/>
    <x v="4"/>
    <x v="2"/>
    <x v="7"/>
    <x v="0"/>
    <s v="Kunal Mehta"/>
    <s v="Highway Branch"/>
    <x v="61"/>
    <s v="Bank Loan"/>
    <s v="Axis Bank"/>
    <s v="No"/>
    <n v="2"/>
    <s v="ICICI Lombard"/>
    <n v="19"/>
    <n v="80683"/>
    <n v="846000"/>
    <x v="333"/>
    <s v="no"/>
    <x v="0"/>
  </r>
  <r>
    <n v="1335"/>
    <s v="Vikas Joshi"/>
    <s v="Female"/>
    <n v="28"/>
    <x v="3"/>
    <x v="0"/>
    <x v="7"/>
    <x v="0"/>
    <s v="Rohit Singh"/>
    <s v="Premium Lounge"/>
    <x v="29"/>
    <s v="UPI"/>
    <s v="ICICI Bank"/>
    <s v="No"/>
    <n v="2"/>
    <s v="Tata AIG"/>
    <n v="11"/>
    <n v="130838"/>
    <n v="2250000"/>
    <x v="334"/>
    <s v="no"/>
    <x v="1"/>
  </r>
  <r>
    <n v="1336"/>
    <s v="Sneha Desai"/>
    <s v="Female"/>
    <n v="60"/>
    <x v="3"/>
    <x v="0"/>
    <x v="8"/>
    <x v="6"/>
    <s v="Amit Patel"/>
    <s v="Highway Branch"/>
    <x v="282"/>
    <s v="UPI"/>
    <s v="ICICI Bank"/>
    <s v="No"/>
    <n v="4"/>
    <s v="Tata AIG"/>
    <n v="6"/>
    <n v="252153"/>
    <n v="2250000"/>
    <x v="335"/>
    <s v="no"/>
    <x v="1"/>
  </r>
  <r>
    <n v="1337"/>
    <s v="Kavita Shah"/>
    <s v="Female"/>
    <n v="40"/>
    <x v="4"/>
    <x v="1"/>
    <x v="2"/>
    <x v="0"/>
    <s v="Amit Patel"/>
    <s v="Highway Branch"/>
    <x v="283"/>
    <s v="Bank Loan"/>
    <s v="Kotak Bank"/>
    <s v="No"/>
    <n v="3"/>
    <s v="Bajaj Allianz"/>
    <n v="11"/>
    <n v="106002"/>
    <n v="846000"/>
    <x v="336"/>
    <s v="no"/>
    <x v="0"/>
  </r>
  <r>
    <n v="1338"/>
    <s v="Neha Verma"/>
    <s v="Male"/>
    <n v="41"/>
    <x v="0"/>
    <x v="0"/>
    <x v="6"/>
    <x v="5"/>
    <s v="Amit Patel"/>
    <s v="Central Showroom"/>
    <x v="94"/>
    <s v="Credit Card"/>
    <s v="SBI"/>
    <s v="Yes"/>
    <n v="2"/>
    <s v="Bajaj Allianz"/>
    <n v="6"/>
    <n v="209957"/>
    <n v="756000"/>
    <x v="337"/>
    <s v="no"/>
    <x v="0"/>
  </r>
  <r>
    <n v="1339"/>
    <s v="Rohit Kumar"/>
    <s v="Male"/>
    <n v="56"/>
    <x v="0"/>
    <x v="3"/>
    <x v="8"/>
    <x v="6"/>
    <s v="Vivek Sharma"/>
    <s v="Central Showroom"/>
    <x v="199"/>
    <s v="Bank Loan"/>
    <s v="ICICI Bank"/>
    <s v="No"/>
    <n v="5"/>
    <s v="HDFC Ergo"/>
    <n v="19"/>
    <n v="162767"/>
    <n v="756000"/>
    <x v="338"/>
    <s v="no"/>
    <x v="0"/>
  </r>
  <r>
    <n v="1340"/>
    <s v="Priya Shah"/>
    <s v="Male"/>
    <n v="26"/>
    <x v="9"/>
    <x v="3"/>
    <x v="4"/>
    <x v="3"/>
    <s v="Suresh Iyer"/>
    <s v="City Mall Branch"/>
    <x v="284"/>
    <s v="UPI"/>
    <s v="Axis Bank"/>
    <s v="Yes"/>
    <n v="2"/>
    <s v="HDFC Ergo"/>
    <n v="20"/>
    <n v="195166"/>
    <n v="1350000"/>
    <x v="339"/>
    <s v="no"/>
    <x v="0"/>
  </r>
  <r>
    <n v="1341"/>
    <s v="Riya Kapoor"/>
    <s v="Female"/>
    <n v="59"/>
    <x v="8"/>
    <x v="1"/>
    <x v="1"/>
    <x v="1"/>
    <s v="Suresh Iyer"/>
    <s v="City Mall Branch"/>
    <x v="285"/>
    <s v="Debit Card"/>
    <s v="ICICI Bank"/>
    <s v="Yes"/>
    <n v="5"/>
    <s v="Tata AIG"/>
    <n v="14"/>
    <n v="264125"/>
    <n v="936000"/>
    <x v="340"/>
    <s v="no"/>
    <x v="0"/>
  </r>
  <r>
    <n v="1342"/>
    <s v="Aman Jain"/>
    <s v="Female"/>
    <n v="46"/>
    <x v="4"/>
    <x v="1"/>
    <x v="8"/>
    <x v="6"/>
    <s v="Kunal Mehta"/>
    <s v="Premium Lounge"/>
    <x v="286"/>
    <s v="Cash"/>
    <s v="HDFC Bank"/>
    <s v="No"/>
    <n v="5"/>
    <s v="Bajaj Allianz"/>
    <n v="23"/>
    <n v="194216"/>
    <n v="846000"/>
    <x v="341"/>
    <s v="no"/>
    <x v="0"/>
  </r>
  <r>
    <n v="1343"/>
    <s v="Aman Jain"/>
    <s v="Female"/>
    <n v="52"/>
    <x v="7"/>
    <x v="1"/>
    <x v="8"/>
    <x v="6"/>
    <s v="Amit Patel"/>
    <s v="Premium Lounge"/>
    <x v="287"/>
    <s v="Bank Loan"/>
    <s v="HDFC Bank"/>
    <s v="Yes"/>
    <n v="2"/>
    <s v="ICICI Lombard"/>
    <n v="10"/>
    <n v="259008"/>
    <n v="702000"/>
    <x v="342"/>
    <s v="no"/>
    <x v="3"/>
  </r>
  <r>
    <n v="1344"/>
    <s v="Nitin Agarwal"/>
    <s v="Female"/>
    <n v="45"/>
    <x v="5"/>
    <x v="3"/>
    <x v="8"/>
    <x v="6"/>
    <s v="Kunal Mehta"/>
    <s v="Premium Lounge"/>
    <x v="288"/>
    <s v="Bank Loan"/>
    <s v="ICICI Bank"/>
    <s v="Yes"/>
    <n v="4"/>
    <s v="ICICI Lombard"/>
    <n v="17"/>
    <n v="161650"/>
    <n v="1224000"/>
    <x v="343"/>
    <s v="no"/>
    <x v="0"/>
  </r>
  <r>
    <n v="1345"/>
    <s v="Rahul Sharma"/>
    <s v="Male"/>
    <n v="30"/>
    <x v="2"/>
    <x v="2"/>
    <x v="4"/>
    <x v="3"/>
    <s v="Amit Patel"/>
    <s v="Premium Lounge"/>
    <x v="152"/>
    <s v="Debit Card"/>
    <s v="Kotak Bank"/>
    <s v="No"/>
    <n v="2"/>
    <s v="Tata AIG"/>
    <n v="23"/>
    <n v="193469"/>
    <n v="5760000"/>
    <x v="344"/>
    <s v="yes"/>
    <x v="2"/>
  </r>
  <r>
    <n v="1346"/>
    <s v="Neha Verma"/>
    <s v="Male"/>
    <n v="35"/>
    <x v="7"/>
    <x v="0"/>
    <x v="0"/>
    <x v="0"/>
    <s v="Suresh Iyer"/>
    <s v="Central Showroom"/>
    <x v="289"/>
    <s v="Credit Card"/>
    <s v="HDFC Bank"/>
    <s v="No"/>
    <n v="2"/>
    <s v="Bajaj Allianz"/>
    <n v="9"/>
    <n v="167764"/>
    <n v="702000"/>
    <x v="345"/>
    <s v="no"/>
    <x v="3"/>
  </r>
  <r>
    <n v="1347"/>
    <s v="Rahul Sharma"/>
    <s v="Female"/>
    <n v="55"/>
    <x v="9"/>
    <x v="3"/>
    <x v="0"/>
    <x v="0"/>
    <s v="Rohit Singh"/>
    <s v="Highway Branch"/>
    <x v="285"/>
    <s v="Bank Loan"/>
    <s v="Axis Bank"/>
    <s v="No"/>
    <n v="5"/>
    <s v="ICICI Lombard"/>
    <n v="12"/>
    <n v="275788"/>
    <n v="1350000"/>
    <x v="346"/>
    <s v="no"/>
    <x v="0"/>
  </r>
  <r>
    <n v="1348"/>
    <s v="Pooja Malhotra"/>
    <s v="Male"/>
    <n v="33"/>
    <x v="6"/>
    <x v="3"/>
    <x v="0"/>
    <x v="0"/>
    <s v="Vivek Sharma"/>
    <s v="Highway Branch"/>
    <x v="290"/>
    <s v="Debit Card"/>
    <s v="Kotak Bank"/>
    <s v="No"/>
    <n v="3"/>
    <s v="ICICI Lombard"/>
    <n v="22"/>
    <n v="180598"/>
    <n v="1098000"/>
    <x v="347"/>
    <s v="no"/>
    <x v="0"/>
  </r>
  <r>
    <n v="1349"/>
    <s v="Aman Jain"/>
    <s v="Female"/>
    <n v="30"/>
    <x v="0"/>
    <x v="1"/>
    <x v="4"/>
    <x v="3"/>
    <s v="Suresh Iyer"/>
    <s v="City Mall Branch"/>
    <x v="154"/>
    <s v="Debit Card"/>
    <s v="HDFC Bank"/>
    <s v="No"/>
    <n v="3"/>
    <s v="Tata AIG"/>
    <n v="8"/>
    <n v="86410"/>
    <n v="756000"/>
    <x v="348"/>
    <s v="no"/>
    <x v="0"/>
  </r>
  <r>
    <n v="1350"/>
    <s v="Riya Kapoor"/>
    <s v="Female"/>
    <n v="28"/>
    <x v="0"/>
    <x v="0"/>
    <x v="1"/>
    <x v="1"/>
    <s v="Rohit Singh"/>
    <s v="Central Showroom"/>
    <x v="119"/>
    <s v="Credit Card"/>
    <s v="Axis Bank"/>
    <s v="Yes"/>
    <n v="2"/>
    <s v="Tata AIG"/>
    <n v="24"/>
    <n v="127688"/>
    <n v="756000"/>
    <x v="349"/>
    <s v="no"/>
    <x v="0"/>
  </r>
  <r>
    <n v="1351"/>
    <s v="Sneha Desai"/>
    <s v="Female"/>
    <n v="38"/>
    <x v="3"/>
    <x v="2"/>
    <x v="8"/>
    <x v="6"/>
    <s v="Rohit Singh"/>
    <s v="City Mall Branch"/>
    <x v="278"/>
    <s v="Cash"/>
    <s v="ICICI Bank"/>
    <s v="Yes"/>
    <n v="3"/>
    <s v="ICICI Lombard"/>
    <n v="25"/>
    <n v="291687"/>
    <n v="2250000"/>
    <x v="350"/>
    <s v="no"/>
    <x v="1"/>
  </r>
  <r>
    <n v="1352"/>
    <s v="Sneha Desai"/>
    <s v="Male"/>
    <n v="44"/>
    <x v="9"/>
    <x v="2"/>
    <x v="4"/>
    <x v="3"/>
    <s v="Amit Patel"/>
    <s v="Highway Branch"/>
    <x v="291"/>
    <s v="Debit Card"/>
    <s v="SBI"/>
    <s v="No"/>
    <n v="4"/>
    <s v="HDFC Ergo"/>
    <n v="8"/>
    <n v="281741"/>
    <n v="1350000"/>
    <x v="351"/>
    <s v="no"/>
    <x v="0"/>
  </r>
  <r>
    <n v="1353"/>
    <s v="Riya Kapoor"/>
    <s v="Male"/>
    <n v="56"/>
    <x v="6"/>
    <x v="2"/>
    <x v="3"/>
    <x v="2"/>
    <s v="Kunal Mehta"/>
    <s v="Premium Lounge"/>
    <x v="292"/>
    <s v="Debit Card"/>
    <s v="Kotak Bank"/>
    <s v="No"/>
    <n v="5"/>
    <s v="ICICI Lombard"/>
    <n v="7"/>
    <n v="143241"/>
    <n v="1098000"/>
    <x v="352"/>
    <s v="no"/>
    <x v="0"/>
  </r>
  <r>
    <n v="1354"/>
    <s v="Riya Kapoor"/>
    <s v="Male"/>
    <n v="58"/>
    <x v="1"/>
    <x v="3"/>
    <x v="6"/>
    <x v="5"/>
    <s v="Suresh Iyer"/>
    <s v="City Mall Branch"/>
    <x v="114"/>
    <s v="Cash"/>
    <s v="ICICI Bank"/>
    <s v="Yes"/>
    <n v="2"/>
    <s v="HDFC Ergo"/>
    <n v="24"/>
    <n v="128757"/>
    <n v="1764000"/>
    <x v="353"/>
    <s v="yes"/>
    <x v="1"/>
  </r>
  <r>
    <n v="1355"/>
    <s v="Kavita Shah"/>
    <s v="Female"/>
    <n v="49"/>
    <x v="9"/>
    <x v="3"/>
    <x v="5"/>
    <x v="4"/>
    <s v="Vivek Sharma"/>
    <s v="Central Showroom"/>
    <x v="259"/>
    <s v="Cash"/>
    <s v="Kotak Bank"/>
    <s v="Yes"/>
    <n v="3"/>
    <s v="HDFC Ergo"/>
    <n v="6"/>
    <n v="293753"/>
    <n v="1350000"/>
    <x v="354"/>
    <s v="no"/>
    <x v="0"/>
  </r>
  <r>
    <n v="1356"/>
    <s v="Suresh Nair"/>
    <s v="Male"/>
    <n v="50"/>
    <x v="6"/>
    <x v="2"/>
    <x v="6"/>
    <x v="5"/>
    <s v="Kunal Mehta"/>
    <s v="Premium Lounge"/>
    <x v="293"/>
    <s v="Credit Card"/>
    <s v="HDFC Bank"/>
    <s v="No"/>
    <n v="2"/>
    <s v="ICICI Lombard"/>
    <n v="15"/>
    <n v="93359"/>
    <n v="1098000"/>
    <x v="355"/>
    <s v="no"/>
    <x v="0"/>
  </r>
  <r>
    <n v="1357"/>
    <s v="Kavita Shah"/>
    <s v="Male"/>
    <n v="31"/>
    <x v="1"/>
    <x v="2"/>
    <x v="3"/>
    <x v="2"/>
    <s v="Vivek Sharma"/>
    <s v="Premium Lounge"/>
    <x v="294"/>
    <s v="Bank Loan"/>
    <s v="SBI"/>
    <s v="Yes"/>
    <n v="2"/>
    <s v="ICICI Lombard"/>
    <n v="22"/>
    <n v="160463"/>
    <n v="1764000"/>
    <x v="356"/>
    <s v="yes"/>
    <x v="1"/>
  </r>
  <r>
    <n v="1358"/>
    <s v="Nitin Agarwal"/>
    <s v="Male"/>
    <n v="39"/>
    <x v="6"/>
    <x v="0"/>
    <x v="1"/>
    <x v="1"/>
    <s v="Rohit Singh"/>
    <s v="Central Showroom"/>
    <x v="295"/>
    <s v="Debit Card"/>
    <s v="Kotak Bank"/>
    <s v="No"/>
    <n v="2"/>
    <s v="HDFC Ergo"/>
    <n v="15"/>
    <n v="101794"/>
    <n v="1098000"/>
    <x v="357"/>
    <s v="no"/>
    <x v="0"/>
  </r>
  <r>
    <n v="1359"/>
    <s v="Aman Jain"/>
    <s v="Female"/>
    <n v="39"/>
    <x v="4"/>
    <x v="0"/>
    <x v="3"/>
    <x v="2"/>
    <s v="Suresh Iyer"/>
    <s v="Highway Branch"/>
    <x v="296"/>
    <s v="UPI"/>
    <s v="HDFC Bank"/>
    <s v="Yes"/>
    <n v="3"/>
    <s v="HDFC Ergo"/>
    <n v="9"/>
    <n v="128268"/>
    <n v="846000"/>
    <x v="358"/>
    <s v="no"/>
    <x v="0"/>
  </r>
  <r>
    <n v="1360"/>
    <s v="Vikas Joshi"/>
    <s v="Male"/>
    <n v="44"/>
    <x v="0"/>
    <x v="1"/>
    <x v="3"/>
    <x v="2"/>
    <s v="Rohit Singh"/>
    <s v="Premium Lounge"/>
    <x v="297"/>
    <s v="Cash"/>
    <s v="Axis Bank"/>
    <s v="Yes"/>
    <n v="3"/>
    <s v="ICICI Lombard"/>
    <n v="7"/>
    <n v="159236"/>
    <n v="756000"/>
    <x v="359"/>
    <s v="no"/>
    <x v="0"/>
  </r>
  <r>
    <n v="1361"/>
    <s v="Priya Shah"/>
    <s v="Male"/>
    <n v="57"/>
    <x v="8"/>
    <x v="0"/>
    <x v="2"/>
    <x v="0"/>
    <s v="Suresh Iyer"/>
    <s v="City Mall Branch"/>
    <x v="179"/>
    <s v="UPI"/>
    <s v="SBI"/>
    <s v="No"/>
    <n v="3"/>
    <s v="Tata AIG"/>
    <n v="19"/>
    <n v="277847"/>
    <n v="936000"/>
    <x v="360"/>
    <s v="no"/>
    <x v="0"/>
  </r>
  <r>
    <n v="1362"/>
    <s v="Vikas Joshi"/>
    <s v="Female"/>
    <n v="28"/>
    <x v="6"/>
    <x v="1"/>
    <x v="8"/>
    <x v="6"/>
    <s v="Rohit Singh"/>
    <s v="Highway Branch"/>
    <x v="228"/>
    <s v="Credit Card"/>
    <s v="HDFC Bank"/>
    <s v="No"/>
    <n v="3"/>
    <s v="Tata AIG"/>
    <n v="17"/>
    <n v="195251"/>
    <n v="1098000"/>
    <x v="361"/>
    <s v="no"/>
    <x v="0"/>
  </r>
  <r>
    <n v="1363"/>
    <s v="Riya Kapoor"/>
    <s v="Male"/>
    <n v="35"/>
    <x v="0"/>
    <x v="3"/>
    <x v="1"/>
    <x v="1"/>
    <s v="Rohit Singh"/>
    <s v="City Mall Branch"/>
    <x v="298"/>
    <s v="Bank Loan"/>
    <s v="HDFC Bank"/>
    <s v="No"/>
    <n v="3"/>
    <s v="Bajaj Allianz"/>
    <n v="17"/>
    <n v="293685"/>
    <n v="756000"/>
    <x v="362"/>
    <s v="no"/>
    <x v="0"/>
  </r>
  <r>
    <n v="1364"/>
    <s v="Suresh Nair"/>
    <s v="Female"/>
    <n v="58"/>
    <x v="0"/>
    <x v="1"/>
    <x v="8"/>
    <x v="6"/>
    <s v="Suresh Iyer"/>
    <s v="City Mall Branch"/>
    <x v="299"/>
    <s v="Credit Card"/>
    <s v="HDFC Bank"/>
    <s v="No"/>
    <n v="4"/>
    <s v="Tata AIG"/>
    <n v="14"/>
    <n v="105155"/>
    <n v="756000"/>
    <x v="363"/>
    <s v="no"/>
    <x v="0"/>
  </r>
  <r>
    <n v="1365"/>
    <s v="Priya Shah"/>
    <s v="Male"/>
    <n v="35"/>
    <x v="8"/>
    <x v="3"/>
    <x v="3"/>
    <x v="2"/>
    <s v="Suresh Iyer"/>
    <s v="Highway Branch"/>
    <x v="212"/>
    <s v="Bank Loan"/>
    <s v="Axis Bank"/>
    <s v="Yes"/>
    <n v="2"/>
    <s v="ICICI Lombard"/>
    <n v="20"/>
    <n v="274965"/>
    <n v="936000"/>
    <x v="364"/>
    <s v="no"/>
    <x v="0"/>
  </r>
  <r>
    <n v="1366"/>
    <s v="Ankit Mehta"/>
    <s v="Male"/>
    <n v="53"/>
    <x v="1"/>
    <x v="1"/>
    <x v="6"/>
    <x v="5"/>
    <s v="Kunal Mehta"/>
    <s v="Premium Lounge"/>
    <x v="300"/>
    <s v="UPI"/>
    <s v="Kotak Bank"/>
    <s v="Yes"/>
    <n v="3"/>
    <s v="Tata AIG"/>
    <n v="20"/>
    <n v="89911"/>
    <n v="1764000"/>
    <x v="365"/>
    <s v="yes"/>
    <x v="1"/>
  </r>
  <r>
    <n v="1367"/>
    <s v="Vikas Joshi"/>
    <s v="Male"/>
    <n v="55"/>
    <x v="9"/>
    <x v="1"/>
    <x v="6"/>
    <x v="5"/>
    <s v="Suresh Iyer"/>
    <s v="Central Showroom"/>
    <x v="301"/>
    <s v="Credit Card"/>
    <s v="ICICI Bank"/>
    <s v="Yes"/>
    <n v="4"/>
    <s v="ICICI Lombard"/>
    <n v="12"/>
    <n v="161841"/>
    <n v="1350000"/>
    <x v="366"/>
    <s v="no"/>
    <x v="0"/>
  </r>
  <r>
    <n v="1368"/>
    <s v="Riya Kapoor"/>
    <s v="Female"/>
    <n v="53"/>
    <x v="3"/>
    <x v="2"/>
    <x v="2"/>
    <x v="0"/>
    <s v="Kunal Mehta"/>
    <s v="Premium Lounge"/>
    <x v="302"/>
    <s v="Credit Card"/>
    <s v="HDFC Bank"/>
    <s v="Yes"/>
    <n v="4"/>
    <s v="Bajaj Allianz"/>
    <n v="14"/>
    <n v="185595"/>
    <n v="2250000"/>
    <x v="367"/>
    <s v="no"/>
    <x v="1"/>
  </r>
  <r>
    <n v="1369"/>
    <s v="Kavita Shah"/>
    <s v="Female"/>
    <n v="28"/>
    <x v="6"/>
    <x v="0"/>
    <x v="8"/>
    <x v="6"/>
    <s v="Kunal Mehta"/>
    <s v="City Mall Branch"/>
    <x v="302"/>
    <s v="UPI"/>
    <s v="Kotak Bank"/>
    <s v="No"/>
    <n v="2"/>
    <s v="ICICI Lombard"/>
    <n v="19"/>
    <n v="138842"/>
    <n v="1098000"/>
    <x v="368"/>
    <s v="no"/>
    <x v="0"/>
  </r>
  <r>
    <n v="1370"/>
    <s v="Ankit Mehta"/>
    <s v="Male"/>
    <n v="28"/>
    <x v="4"/>
    <x v="2"/>
    <x v="9"/>
    <x v="6"/>
    <s v="Suresh Iyer"/>
    <s v="Premium Lounge"/>
    <x v="284"/>
    <s v="Bank Loan"/>
    <s v="Kotak Bank"/>
    <s v="No"/>
    <n v="2"/>
    <s v="ICICI Lombard"/>
    <n v="19"/>
    <n v="259423"/>
    <n v="846000"/>
    <x v="369"/>
    <s v="no"/>
    <x v="0"/>
  </r>
  <r>
    <n v="1371"/>
    <s v="Vikas Joshi"/>
    <s v="Male"/>
    <n v="59"/>
    <x v="5"/>
    <x v="0"/>
    <x v="6"/>
    <x v="5"/>
    <s v="Suresh Iyer"/>
    <s v="Premium Lounge"/>
    <x v="269"/>
    <s v="Cash"/>
    <s v="Axis Bank"/>
    <s v="Yes"/>
    <n v="2"/>
    <s v="HDFC Ergo"/>
    <n v="16"/>
    <n v="233109"/>
    <n v="1224000"/>
    <x v="370"/>
    <s v="no"/>
    <x v="0"/>
  </r>
  <r>
    <n v="1372"/>
    <s v="Neha Verma"/>
    <s v="Male"/>
    <n v="30"/>
    <x v="8"/>
    <x v="2"/>
    <x v="1"/>
    <x v="1"/>
    <s v="Kunal Mehta"/>
    <s v="City Mall Branch"/>
    <x v="303"/>
    <s v="Credit Card"/>
    <s v="HDFC Bank"/>
    <s v="No"/>
    <n v="2"/>
    <s v="ICICI Lombard"/>
    <n v="22"/>
    <n v="76745"/>
    <n v="936000"/>
    <x v="371"/>
    <s v="no"/>
    <x v="0"/>
  </r>
  <r>
    <n v="1373"/>
    <s v="Suresh Nair"/>
    <s v="Female"/>
    <n v="49"/>
    <x v="9"/>
    <x v="0"/>
    <x v="7"/>
    <x v="0"/>
    <s v="Kunal Mehta"/>
    <s v="City Mall Branch"/>
    <x v="304"/>
    <s v="Debit Card"/>
    <s v="SBI"/>
    <s v="Yes"/>
    <n v="2"/>
    <s v="Tata AIG"/>
    <n v="8"/>
    <n v="227775"/>
    <n v="1350000"/>
    <x v="372"/>
    <s v="no"/>
    <x v="0"/>
  </r>
  <r>
    <n v="1374"/>
    <s v="Harsh Patel"/>
    <s v="Female"/>
    <n v="42"/>
    <x v="7"/>
    <x v="0"/>
    <x v="7"/>
    <x v="0"/>
    <s v="Rohit Singh"/>
    <s v="City Mall Branch"/>
    <x v="305"/>
    <s v="Bank Loan"/>
    <s v="ICICI Bank"/>
    <s v="Yes"/>
    <n v="2"/>
    <s v="Bajaj Allianz"/>
    <n v="20"/>
    <n v="145727"/>
    <n v="702000"/>
    <x v="373"/>
    <s v="no"/>
    <x v="3"/>
  </r>
  <r>
    <n v="1375"/>
    <s v="Aman Jain"/>
    <s v="Female"/>
    <n v="58"/>
    <x v="9"/>
    <x v="3"/>
    <x v="3"/>
    <x v="2"/>
    <s v="Kunal Mehta"/>
    <s v="City Mall Branch"/>
    <x v="306"/>
    <s v="Cash"/>
    <s v="HDFC Bank"/>
    <s v="No"/>
    <n v="5"/>
    <s v="Tata AIG"/>
    <n v="7"/>
    <n v="125674"/>
    <n v="1350000"/>
    <x v="374"/>
    <s v="no"/>
    <x v="0"/>
  </r>
  <r>
    <n v="1376"/>
    <s v="Sneha Desai"/>
    <s v="Male"/>
    <n v="38"/>
    <x v="9"/>
    <x v="1"/>
    <x v="1"/>
    <x v="1"/>
    <s v="Kunal Mehta"/>
    <s v="Central Showroom"/>
    <x v="197"/>
    <s v="UPI"/>
    <s v="SBI"/>
    <s v="No"/>
    <n v="5"/>
    <s v="ICICI Lombard"/>
    <n v="17"/>
    <n v="175446"/>
    <n v="1350000"/>
    <x v="375"/>
    <s v="no"/>
    <x v="0"/>
  </r>
  <r>
    <n v="1377"/>
    <s v="Rahul Sharma"/>
    <s v="Male"/>
    <n v="45"/>
    <x v="3"/>
    <x v="2"/>
    <x v="7"/>
    <x v="0"/>
    <s v="Suresh Iyer"/>
    <s v="Premium Lounge"/>
    <x v="307"/>
    <s v="UPI"/>
    <s v="Kotak Bank"/>
    <s v="No"/>
    <n v="5"/>
    <s v="HDFC Ergo"/>
    <n v="18"/>
    <n v="262840"/>
    <n v="2250000"/>
    <x v="376"/>
    <s v="no"/>
    <x v="1"/>
  </r>
  <r>
    <n v="1378"/>
    <s v="Rahul Sharma"/>
    <s v="Female"/>
    <n v="44"/>
    <x v="6"/>
    <x v="2"/>
    <x v="0"/>
    <x v="0"/>
    <s v="Amit Patel"/>
    <s v="Highway Branch"/>
    <x v="116"/>
    <s v="Bank Loan"/>
    <s v="HDFC Bank"/>
    <s v="Yes"/>
    <n v="5"/>
    <s v="HDFC Ergo"/>
    <n v="19"/>
    <n v="292762"/>
    <n v="1098000"/>
    <x v="377"/>
    <s v="no"/>
    <x v="0"/>
  </r>
  <r>
    <n v="1379"/>
    <s v="Sneha Desai"/>
    <s v="Female"/>
    <n v="56"/>
    <x v="0"/>
    <x v="3"/>
    <x v="6"/>
    <x v="5"/>
    <s v="Suresh Iyer"/>
    <s v="City Mall Branch"/>
    <x v="308"/>
    <s v="UPI"/>
    <s v="ICICI Bank"/>
    <s v="No"/>
    <n v="2"/>
    <s v="HDFC Ergo"/>
    <n v="20"/>
    <n v="291058"/>
    <n v="756000"/>
    <x v="378"/>
    <s v="no"/>
    <x v="0"/>
  </r>
  <r>
    <n v="1380"/>
    <s v="Rohit Kumar"/>
    <s v="Male"/>
    <n v="30"/>
    <x v="9"/>
    <x v="3"/>
    <x v="0"/>
    <x v="0"/>
    <s v="Vivek Sharma"/>
    <s v="Central Showroom"/>
    <x v="309"/>
    <s v="UPI"/>
    <s v="SBI"/>
    <s v="Yes"/>
    <n v="3"/>
    <s v="Tata AIG"/>
    <n v="24"/>
    <n v="252036"/>
    <n v="1350000"/>
    <x v="379"/>
    <s v="no"/>
    <x v="0"/>
  </r>
  <r>
    <n v="1381"/>
    <s v="Harsh Patel"/>
    <s v="Female"/>
    <n v="29"/>
    <x v="4"/>
    <x v="2"/>
    <x v="8"/>
    <x v="6"/>
    <s v="Amit Patel"/>
    <s v="Central Showroom"/>
    <x v="170"/>
    <s v="Bank Loan"/>
    <s v="HDFC Bank"/>
    <s v="No"/>
    <n v="2"/>
    <s v="Tata AIG"/>
    <n v="5"/>
    <n v="152323"/>
    <n v="846000"/>
    <x v="380"/>
    <s v="no"/>
    <x v="0"/>
  </r>
  <r>
    <n v="1382"/>
    <s v="Nitin Agarwal"/>
    <s v="Male"/>
    <n v="33"/>
    <x v="0"/>
    <x v="3"/>
    <x v="0"/>
    <x v="0"/>
    <s v="Kunal Mehta"/>
    <s v="Premium Lounge"/>
    <x v="254"/>
    <s v="Cash"/>
    <s v="SBI"/>
    <s v="Yes"/>
    <n v="2"/>
    <s v="Tata AIG"/>
    <n v="22"/>
    <n v="77381"/>
    <n v="756000"/>
    <x v="381"/>
    <s v="no"/>
    <x v="0"/>
  </r>
  <r>
    <n v="1383"/>
    <s v="Sneha Desai"/>
    <s v="Female"/>
    <n v="56"/>
    <x v="6"/>
    <x v="0"/>
    <x v="0"/>
    <x v="0"/>
    <s v="Kunal Mehta"/>
    <s v="Premium Lounge"/>
    <x v="258"/>
    <s v="Cash"/>
    <s v="SBI"/>
    <s v="Yes"/>
    <n v="2"/>
    <s v="Tata AIG"/>
    <n v="12"/>
    <n v="246177"/>
    <n v="1098000"/>
    <x v="382"/>
    <s v="no"/>
    <x v="0"/>
  </r>
  <r>
    <n v="1384"/>
    <s v="Rohit Kumar"/>
    <s v="Male"/>
    <n v="45"/>
    <x v="9"/>
    <x v="2"/>
    <x v="8"/>
    <x v="6"/>
    <s v="Vivek Sharma"/>
    <s v="City Mall Branch"/>
    <x v="310"/>
    <s v="Cash"/>
    <s v="SBI"/>
    <s v="No"/>
    <n v="3"/>
    <s v="Tata AIG"/>
    <n v="14"/>
    <n v="150013"/>
    <n v="1350000"/>
    <x v="383"/>
    <s v="no"/>
    <x v="0"/>
  </r>
  <r>
    <n v="1385"/>
    <s v="Suresh Nair"/>
    <s v="Female"/>
    <n v="39"/>
    <x v="7"/>
    <x v="1"/>
    <x v="3"/>
    <x v="2"/>
    <s v="Kunal Mehta"/>
    <s v="Highway Branch"/>
    <x v="311"/>
    <s v="Debit Card"/>
    <s v="SBI"/>
    <s v="No"/>
    <n v="3"/>
    <s v="ICICI Lombard"/>
    <n v="9"/>
    <n v="262801"/>
    <n v="702000"/>
    <x v="384"/>
    <s v="no"/>
    <x v="3"/>
  </r>
  <r>
    <n v="1386"/>
    <s v="Aman Jain"/>
    <s v="Female"/>
    <n v="30"/>
    <x v="9"/>
    <x v="0"/>
    <x v="0"/>
    <x v="0"/>
    <s v="Suresh Iyer"/>
    <s v="Highway Branch"/>
    <x v="272"/>
    <s v="Debit Card"/>
    <s v="HDFC Bank"/>
    <s v="No"/>
    <n v="3"/>
    <s v="Bajaj Allianz"/>
    <n v="15"/>
    <n v="128976"/>
    <n v="1350000"/>
    <x v="385"/>
    <s v="no"/>
    <x v="0"/>
  </r>
  <r>
    <n v="1387"/>
    <s v="Sneha Desai"/>
    <s v="Male"/>
    <n v="28"/>
    <x v="8"/>
    <x v="3"/>
    <x v="8"/>
    <x v="6"/>
    <s v="Amit Patel"/>
    <s v="Premium Lounge"/>
    <x v="222"/>
    <s v="Debit Card"/>
    <s v="Axis Bank"/>
    <s v="Yes"/>
    <n v="3"/>
    <s v="Tata AIG"/>
    <n v="13"/>
    <n v="184503"/>
    <n v="936000"/>
    <x v="386"/>
    <s v="no"/>
    <x v="0"/>
  </r>
  <r>
    <n v="1388"/>
    <s v="Suresh Nair"/>
    <s v="Male"/>
    <n v="60"/>
    <x v="7"/>
    <x v="2"/>
    <x v="4"/>
    <x v="3"/>
    <s v="Kunal Mehta"/>
    <s v="Premium Lounge"/>
    <x v="312"/>
    <s v="UPI"/>
    <s v="HDFC Bank"/>
    <s v="No"/>
    <n v="2"/>
    <s v="ICICI Lombard"/>
    <n v="21"/>
    <n v="111893"/>
    <n v="702000"/>
    <x v="387"/>
    <s v="no"/>
    <x v="3"/>
  </r>
  <r>
    <n v="1389"/>
    <s v="Vikas Joshi"/>
    <s v="Female"/>
    <n v="50"/>
    <x v="4"/>
    <x v="0"/>
    <x v="1"/>
    <x v="1"/>
    <s v="Rohit Singh"/>
    <s v="Central Showroom"/>
    <x v="313"/>
    <s v="Bank Loan"/>
    <s v="ICICI Bank"/>
    <s v="No"/>
    <n v="3"/>
    <s v="ICICI Lombard"/>
    <n v="22"/>
    <n v="127935"/>
    <n v="846000"/>
    <x v="388"/>
    <s v="no"/>
    <x v="0"/>
  </r>
  <r>
    <n v="1390"/>
    <s v="Pooja Malhotra"/>
    <s v="Female"/>
    <n v="32"/>
    <x v="2"/>
    <x v="2"/>
    <x v="9"/>
    <x v="6"/>
    <s v="Rohit Singh"/>
    <s v="Central Showroom"/>
    <x v="314"/>
    <s v="Bank Loan"/>
    <s v="SBI"/>
    <s v="Yes"/>
    <n v="3"/>
    <s v="Tata AIG"/>
    <n v="17"/>
    <n v="220700"/>
    <n v="5760000"/>
    <x v="389"/>
    <s v="yes"/>
    <x v="2"/>
  </r>
  <r>
    <n v="1391"/>
    <s v="Kavita Shah"/>
    <s v="Male"/>
    <n v="40"/>
    <x v="5"/>
    <x v="1"/>
    <x v="2"/>
    <x v="0"/>
    <s v="Amit Patel"/>
    <s v="Premium Lounge"/>
    <x v="310"/>
    <s v="Cash"/>
    <s v="ICICI Bank"/>
    <s v="Yes"/>
    <n v="4"/>
    <s v="HDFC Ergo"/>
    <n v="19"/>
    <n v="278356"/>
    <n v="1224000"/>
    <x v="390"/>
    <s v="no"/>
    <x v="0"/>
  </r>
  <r>
    <n v="1392"/>
    <s v="Mohit Gupta"/>
    <s v="Male"/>
    <n v="57"/>
    <x v="8"/>
    <x v="1"/>
    <x v="2"/>
    <x v="0"/>
    <s v="Vivek Sharma"/>
    <s v="Premium Lounge"/>
    <x v="315"/>
    <s v="Credit Card"/>
    <s v="SBI"/>
    <s v="Yes"/>
    <n v="5"/>
    <s v="Bajaj Allianz"/>
    <n v="11"/>
    <n v="86696"/>
    <n v="936000"/>
    <x v="391"/>
    <s v="no"/>
    <x v="0"/>
  </r>
  <r>
    <n v="1393"/>
    <s v="Nitin Agarwal"/>
    <s v="Male"/>
    <n v="29"/>
    <x v="9"/>
    <x v="1"/>
    <x v="4"/>
    <x v="3"/>
    <s v="Vivek Sharma"/>
    <s v="Central Showroom"/>
    <x v="21"/>
    <s v="Debit Card"/>
    <s v="ICICI Bank"/>
    <s v="Yes"/>
    <n v="2"/>
    <s v="Tata AIG"/>
    <n v="6"/>
    <n v="145511"/>
    <n v="1350000"/>
    <x v="392"/>
    <s v="no"/>
    <x v="0"/>
  </r>
  <r>
    <n v="1394"/>
    <s v="Rohit Kumar"/>
    <s v="Female"/>
    <n v="56"/>
    <x v="1"/>
    <x v="3"/>
    <x v="6"/>
    <x v="5"/>
    <s v="Suresh Iyer"/>
    <s v="Central Showroom"/>
    <x v="316"/>
    <s v="Bank Loan"/>
    <s v="Axis Bank"/>
    <s v="No"/>
    <n v="3"/>
    <s v="Tata AIG"/>
    <n v="11"/>
    <n v="240738"/>
    <n v="1764000"/>
    <x v="393"/>
    <s v="yes"/>
    <x v="1"/>
  </r>
  <r>
    <n v="1395"/>
    <s v="Mohit Gupta"/>
    <s v="Male"/>
    <n v="56"/>
    <x v="1"/>
    <x v="2"/>
    <x v="0"/>
    <x v="0"/>
    <s v="Vivek Sharma"/>
    <s v="Central Showroom"/>
    <x v="66"/>
    <s v="Bank Loan"/>
    <s v="Axis Bank"/>
    <s v="No"/>
    <n v="5"/>
    <s v="Bajaj Allianz"/>
    <n v="25"/>
    <n v="245721"/>
    <n v="1764000"/>
    <x v="394"/>
    <s v="yes"/>
    <x v="1"/>
  </r>
  <r>
    <n v="1396"/>
    <s v="Ankit Mehta"/>
    <s v="Male"/>
    <n v="33"/>
    <x v="3"/>
    <x v="2"/>
    <x v="3"/>
    <x v="2"/>
    <s v="Rohit Singh"/>
    <s v="Highway Branch"/>
    <x v="298"/>
    <s v="UPI"/>
    <s v="SBI"/>
    <s v="Yes"/>
    <n v="3"/>
    <s v="Bajaj Allianz"/>
    <n v="15"/>
    <n v="206987"/>
    <n v="2250000"/>
    <x v="395"/>
    <s v="no"/>
    <x v="1"/>
  </r>
  <r>
    <n v="1397"/>
    <s v="Vikas Joshi"/>
    <s v="Female"/>
    <n v="34"/>
    <x v="7"/>
    <x v="1"/>
    <x v="6"/>
    <x v="5"/>
    <s v="Suresh Iyer"/>
    <s v="Central Showroom"/>
    <x v="317"/>
    <s v="UPI"/>
    <s v="HDFC Bank"/>
    <s v="Yes"/>
    <n v="4"/>
    <s v="ICICI Lombard"/>
    <n v="5"/>
    <n v="175588"/>
    <n v="702000"/>
    <x v="396"/>
    <s v="no"/>
    <x v="3"/>
  </r>
  <r>
    <n v="1398"/>
    <s v="Harsh Patel"/>
    <s v="Female"/>
    <n v="56"/>
    <x v="8"/>
    <x v="1"/>
    <x v="5"/>
    <x v="4"/>
    <s v="Amit Patel"/>
    <s v="City Mall Branch"/>
    <x v="318"/>
    <s v="Cash"/>
    <s v="Axis Bank"/>
    <s v="No"/>
    <n v="2"/>
    <s v="Tata AIG"/>
    <n v="25"/>
    <n v="244918"/>
    <n v="936000"/>
    <x v="397"/>
    <s v="no"/>
    <x v="0"/>
  </r>
  <r>
    <n v="1399"/>
    <s v="Mohit Gupta"/>
    <s v="Male"/>
    <n v="37"/>
    <x v="8"/>
    <x v="2"/>
    <x v="1"/>
    <x v="1"/>
    <s v="Rohit Singh"/>
    <s v="Highway Branch"/>
    <x v="319"/>
    <s v="Bank Loan"/>
    <s v="SBI"/>
    <s v="No"/>
    <n v="2"/>
    <s v="HDFC Ergo"/>
    <n v="7"/>
    <n v="97228"/>
    <n v="936000"/>
    <x v="398"/>
    <s v="no"/>
    <x v="0"/>
  </r>
  <r>
    <n v="1400"/>
    <s v="Harsh Patel"/>
    <s v="Male"/>
    <n v="44"/>
    <x v="8"/>
    <x v="2"/>
    <x v="2"/>
    <x v="0"/>
    <s v="Amit Patel"/>
    <s v="Premium Lounge"/>
    <x v="320"/>
    <s v="Debit Card"/>
    <s v="HDFC Bank"/>
    <s v="Yes"/>
    <n v="5"/>
    <s v="HDFC Ergo"/>
    <n v="8"/>
    <n v="101567"/>
    <n v="936000"/>
    <x v="399"/>
    <s v="no"/>
    <x v="0"/>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r>
    <m/>
    <m/>
    <m/>
    <m/>
    <x v="10"/>
    <x v="4"/>
    <x v="10"/>
    <x v="7"/>
    <m/>
    <m/>
    <x v="321"/>
    <m/>
    <m/>
    <m/>
    <m/>
    <m/>
    <m/>
    <m/>
    <m/>
    <x v="400"/>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4:E43" firstHeaderRow="1" firstDataRow="2" firstDataCol="1"/>
  <pivotFields count="20">
    <pivotField showAll="0"/>
    <pivotField showAll="0"/>
    <pivotField axis="axisCol" showAll="0">
      <items count="4">
        <item x="1"/>
        <item x="0"/>
        <item x="2"/>
        <item t="default"/>
      </items>
    </pivotField>
    <pivotField axis="axisRow" showAll="0">
      <items count="38">
        <item x="29"/>
        <item x="34"/>
        <item x="15"/>
        <item x="27"/>
        <item x="3"/>
        <item x="18"/>
        <item x="23"/>
        <item x="21"/>
        <item x="6"/>
        <item x="28"/>
        <item x="26"/>
        <item x="16"/>
        <item x="10"/>
        <item x="30"/>
        <item x="5"/>
        <item x="31"/>
        <item x="19"/>
        <item x="14"/>
        <item x="35"/>
        <item x="13"/>
        <item x="9"/>
        <item x="12"/>
        <item x="17"/>
        <item x="24"/>
        <item x="22"/>
        <item x="1"/>
        <item x="4"/>
        <item x="0"/>
        <item x="11"/>
        <item x="7"/>
        <item x="20"/>
        <item x="8"/>
        <item x="33"/>
        <item x="32"/>
        <item x="25"/>
        <item x="2"/>
        <item x="36"/>
        <item t="default"/>
      </items>
    </pivotField>
    <pivotField dataField="1" showAll="0">
      <items count="12">
        <item x="7"/>
        <item x="1"/>
        <item x="2"/>
        <item x="8"/>
        <item x="5"/>
        <item x="0"/>
        <item x="4"/>
        <item x="6"/>
        <item x="9"/>
        <item x="3"/>
        <item x="10"/>
        <item t="default"/>
      </items>
    </pivotField>
    <pivotField showAll="0">
      <items count="6">
        <item x="1"/>
        <item x="0"/>
        <item x="3"/>
        <item x="2"/>
        <item x="4"/>
        <item t="default"/>
      </items>
    </pivotField>
    <pivotField showAll="0"/>
    <pivotField showAll="0">
      <items count="9">
        <item x="4"/>
        <item x="0"/>
        <item x="5"/>
        <item x="6"/>
        <item x="1"/>
        <item x="3"/>
        <item x="2"/>
        <item x="7"/>
        <item t="default"/>
      </items>
    </pivotField>
    <pivotField showAll="0"/>
    <pivotField showAll="0"/>
    <pivotField showAll="0"/>
    <pivotField showAll="0">
      <items count="7">
        <item x="2"/>
        <item x="3"/>
        <item x="4"/>
        <item x="0"/>
        <item x="1"/>
        <item x="5"/>
        <item t="default"/>
      </items>
    </pivotField>
    <pivotField showAll="0"/>
    <pivotField showAll="0"/>
    <pivotField showAll="0"/>
    <pivotField showAll="0"/>
    <pivotField showAll="0"/>
    <pivotField showAll="0"/>
    <pivotField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4">
    <i>
      <x/>
    </i>
    <i>
      <x v="1"/>
    </i>
    <i>
      <x v="2"/>
    </i>
    <i t="grand">
      <x/>
    </i>
  </colItems>
  <dataFields count="1">
    <dataField name="Count of Model"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G4:S14" firstHeaderRow="1" firstDataRow="2" firstDataCol="1"/>
  <pivotFields count="20">
    <pivotField showAll="0"/>
    <pivotField showAll="0"/>
    <pivotField showAll="0"/>
    <pivotField showAll="0"/>
    <pivotField axis="axisCol" showAll="0">
      <items count="12">
        <item x="7"/>
        <item x="1"/>
        <item x="2"/>
        <item x="8"/>
        <item x="5"/>
        <item x="0"/>
        <item x="4"/>
        <item x="6"/>
        <item x="9"/>
        <item x="3"/>
        <item x="10"/>
        <item t="default"/>
      </items>
    </pivotField>
    <pivotField dataField="1" showAll="0">
      <items count="6">
        <item x="1"/>
        <item x="0"/>
        <item x="3"/>
        <item x="2"/>
        <item x="4"/>
        <item t="default"/>
      </items>
    </pivotField>
    <pivotField showAll="0"/>
    <pivotField axis="axisRow" showAll="0">
      <items count="9">
        <item x="4"/>
        <item x="0"/>
        <item x="5"/>
        <item x="6"/>
        <item x="1"/>
        <item x="3"/>
        <item x="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Fields count="1">
    <field x="4"/>
  </colFields>
  <colItems count="12">
    <i>
      <x/>
    </i>
    <i>
      <x v="1"/>
    </i>
    <i>
      <x v="2"/>
    </i>
    <i>
      <x v="3"/>
    </i>
    <i>
      <x v="4"/>
    </i>
    <i>
      <x v="5"/>
    </i>
    <i>
      <x v="6"/>
    </i>
    <i>
      <x v="7"/>
    </i>
    <i>
      <x v="8"/>
    </i>
    <i>
      <x v="9"/>
    </i>
    <i>
      <x v="10"/>
    </i>
    <i t="grand">
      <x/>
    </i>
  </colItems>
  <dataFields count="1">
    <dataField name="Count of Fuel_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46:G85" firstHeaderRow="1" firstDataRow="2" firstDataCol="1"/>
  <pivotFields count="20">
    <pivotField showAll="0"/>
    <pivotField showAll="0"/>
    <pivotField showAll="0"/>
    <pivotField axis="axisRow" showAll="0">
      <items count="38">
        <item x="29"/>
        <item x="34"/>
        <item x="15"/>
        <item x="27"/>
        <item x="3"/>
        <item x="18"/>
        <item x="23"/>
        <item x="21"/>
        <item x="6"/>
        <item x="28"/>
        <item x="26"/>
        <item x="16"/>
        <item x="10"/>
        <item x="30"/>
        <item x="5"/>
        <item x="31"/>
        <item x="19"/>
        <item x="14"/>
        <item x="35"/>
        <item x="13"/>
        <item x="9"/>
        <item x="12"/>
        <item x="17"/>
        <item x="24"/>
        <item x="22"/>
        <item x="1"/>
        <item x="4"/>
        <item x="0"/>
        <item x="11"/>
        <item x="7"/>
        <item x="20"/>
        <item x="8"/>
        <item x="33"/>
        <item x="32"/>
        <item x="25"/>
        <item x="2"/>
        <item x="36"/>
        <item t="default"/>
      </items>
    </pivotField>
    <pivotField showAll="0">
      <items count="12">
        <item x="7"/>
        <item x="1"/>
        <item x="2"/>
        <item x="8"/>
        <item x="5"/>
        <item x="0"/>
        <item x="4"/>
        <item x="6"/>
        <item x="9"/>
        <item x="3"/>
        <item x="10"/>
        <item t="default"/>
      </items>
    </pivotField>
    <pivotField axis="axisCol" showAll="0">
      <items count="6">
        <item x="1"/>
        <item x="0"/>
        <item x="3"/>
        <item x="2"/>
        <item x="4"/>
        <item t="default"/>
      </items>
    </pivotField>
    <pivotField dataField="1" showAll="0">
      <items count="12">
        <item x="7"/>
        <item x="6"/>
        <item x="4"/>
        <item x="5"/>
        <item x="3"/>
        <item x="1"/>
        <item x="8"/>
        <item x="9"/>
        <item x="2"/>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5"/>
  </colFields>
  <colItems count="6">
    <i>
      <x/>
    </i>
    <i>
      <x v="1"/>
    </i>
    <i>
      <x v="2"/>
    </i>
    <i>
      <x v="3"/>
    </i>
    <i>
      <x v="4"/>
    </i>
    <i t="grand">
      <x/>
    </i>
  </colItems>
  <dataFields count="1">
    <dataField name="Count of City" fld="6" subtotal="count" baseField="0" baseItem="0"/>
  </dataFields>
  <chartFormats count="5">
    <chartFormat chart="5" format="5" series="1">
      <pivotArea type="data" outline="0" fieldPosition="0">
        <references count="2">
          <reference field="4294967294" count="1" selected="0">
            <x v="0"/>
          </reference>
          <reference field="5" count="1" selected="0">
            <x v="0"/>
          </reference>
        </references>
      </pivotArea>
    </chartFormat>
    <chartFormat chart="5" format="6" series="1">
      <pivotArea type="data" outline="0" fieldPosition="0">
        <references count="2">
          <reference field="4294967294" count="1" selected="0">
            <x v="0"/>
          </reference>
          <reference field="5" count="1" selected="0">
            <x v="1"/>
          </reference>
        </references>
      </pivotArea>
    </chartFormat>
    <chartFormat chart="5" format="7" series="1">
      <pivotArea type="data" outline="0" fieldPosition="0">
        <references count="2">
          <reference field="4294967294" count="1" selected="0">
            <x v="0"/>
          </reference>
          <reference field="5" count="1" selected="0">
            <x v="2"/>
          </reference>
        </references>
      </pivotArea>
    </chartFormat>
    <chartFormat chart="5" format="8" series="1">
      <pivotArea type="data" outline="0" fieldPosition="0">
        <references count="2">
          <reference field="4294967294" count="1" selected="0">
            <x v="0"/>
          </reference>
          <reference field="5" count="1" selected="0">
            <x v="3"/>
          </reference>
        </references>
      </pivotArea>
    </chartFormat>
    <chartFormat chart="5" format="9"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A91:B96" firstHeaderRow="1" firstDataRow="1" firstDataCol="1"/>
  <pivotFields count="22">
    <pivotField showAll="0"/>
    <pivotField showAll="0"/>
    <pivotField showAll="0"/>
    <pivotField showAll="0"/>
    <pivotField dataField="1" showAll="0">
      <items count="12">
        <item x="7"/>
        <item x="1"/>
        <item x="2"/>
        <item x="8"/>
        <item x="5"/>
        <item x="0"/>
        <item x="4"/>
        <item x="6"/>
        <item x="9"/>
        <item x="3"/>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h="1" x="4"/>
        <item t="default"/>
      </items>
    </pivotField>
  </pivotFields>
  <rowFields count="1">
    <field x="21"/>
  </rowFields>
  <rowItems count="5">
    <i>
      <x/>
    </i>
    <i>
      <x v="1"/>
    </i>
    <i>
      <x v="2"/>
    </i>
    <i>
      <x v="3"/>
    </i>
    <i t="grand">
      <x/>
    </i>
  </rowItems>
  <colItems count="1">
    <i/>
  </colItems>
  <dataFields count="1">
    <dataField name="Count of Model" fld="4" subtotal="count" baseField="21"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58:AF71" firstHeaderRow="1" firstDataRow="2" firstDataCol="1"/>
  <pivotFields count="20">
    <pivotField showAll="0"/>
    <pivotField showAll="0"/>
    <pivotField showAll="0"/>
    <pivotField showAll="0"/>
    <pivotField axis="axisRow" showAll="0">
      <items count="12">
        <item x="7"/>
        <item x="1"/>
        <item x="2"/>
        <item x="8"/>
        <item x="5"/>
        <item x="0"/>
        <item x="4"/>
        <item x="6"/>
        <item x="9"/>
        <item x="3"/>
        <item x="10"/>
        <item t="default"/>
      </items>
    </pivotField>
    <pivotField showAll="0"/>
    <pivotField dataField="1" showAll="0">
      <items count="12">
        <item x="7"/>
        <item x="6"/>
        <item x="4"/>
        <item x="5"/>
        <item x="3"/>
        <item x="1"/>
        <item x="8"/>
        <item x="9"/>
        <item x="2"/>
        <item x="0"/>
        <item x="10"/>
        <item t="default"/>
      </items>
    </pivotField>
    <pivotField showAll="0">
      <items count="9">
        <item x="4"/>
        <item x="0"/>
        <item x="5"/>
        <item x="6"/>
        <item x="1"/>
        <item x="3"/>
        <item x="2"/>
        <item x="7"/>
        <item t="default"/>
      </items>
    </pivotField>
    <pivotField showAll="0"/>
    <pivotField showAll="0"/>
    <pivotField showAll="0">
      <items count="323">
        <item x="113"/>
        <item x="204"/>
        <item x="158"/>
        <item x="251"/>
        <item x="5"/>
        <item x="229"/>
        <item x="29"/>
        <item x="290"/>
        <item x="216"/>
        <item x="174"/>
        <item x="81"/>
        <item x="108"/>
        <item x="212"/>
        <item x="84"/>
        <item x="33"/>
        <item x="126"/>
        <item x="245"/>
        <item x="116"/>
        <item x="220"/>
        <item x="98"/>
        <item x="90"/>
        <item x="162"/>
        <item x="142"/>
        <item x="242"/>
        <item x="219"/>
        <item x="115"/>
        <item x="95"/>
        <item x="241"/>
        <item x="255"/>
        <item x="134"/>
        <item x="201"/>
        <item x="30"/>
        <item x="268"/>
        <item x="253"/>
        <item x="264"/>
        <item x="248"/>
        <item x="6"/>
        <item x="280"/>
        <item x="312"/>
        <item x="75"/>
        <item x="152"/>
        <item x="102"/>
        <item x="225"/>
        <item x="209"/>
        <item x="55"/>
        <item x="205"/>
        <item x="304"/>
        <item x="193"/>
        <item x="232"/>
        <item x="166"/>
        <item x="240"/>
        <item x="289"/>
        <item x="250"/>
        <item x="281"/>
        <item x="295"/>
        <item x="143"/>
        <item x="133"/>
        <item x="287"/>
        <item x="132"/>
        <item x="239"/>
        <item x="128"/>
        <item x="149"/>
        <item x="80"/>
        <item x="234"/>
        <item x="307"/>
        <item x="129"/>
        <item x="120"/>
        <item x="66"/>
        <item x="9"/>
        <item x="17"/>
        <item x="159"/>
        <item x="79"/>
        <item x="200"/>
        <item x="277"/>
        <item x="41"/>
        <item x="188"/>
        <item x="285"/>
        <item x="263"/>
        <item x="20"/>
        <item x="189"/>
        <item x="185"/>
        <item x="103"/>
        <item x="145"/>
        <item x="186"/>
        <item x="93"/>
        <item x="8"/>
        <item x="182"/>
        <item x="237"/>
        <item x="101"/>
        <item x="199"/>
        <item x="238"/>
        <item x="10"/>
        <item x="111"/>
        <item x="144"/>
        <item x="109"/>
        <item x="282"/>
        <item x="73"/>
        <item x="14"/>
        <item x="293"/>
        <item x="267"/>
        <item x="112"/>
        <item x="175"/>
        <item x="198"/>
        <item x="91"/>
        <item x="150"/>
        <item x="171"/>
        <item x="0"/>
        <item x="22"/>
        <item x="163"/>
        <item x="99"/>
        <item x="127"/>
        <item x="106"/>
        <item x="76"/>
        <item x="247"/>
        <item x="35"/>
        <item x="82"/>
        <item x="206"/>
        <item x="147"/>
        <item x="60"/>
        <item x="318"/>
        <item x="136"/>
        <item x="44"/>
        <item x="130"/>
        <item x="235"/>
        <item x="279"/>
        <item x="178"/>
        <item x="299"/>
        <item x="16"/>
        <item x="107"/>
        <item x="138"/>
        <item x="167"/>
        <item x="104"/>
        <item x="226"/>
        <item x="69"/>
        <item x="18"/>
        <item x="88"/>
        <item x="244"/>
        <item x="231"/>
        <item x="222"/>
        <item x="276"/>
        <item x="184"/>
        <item x="123"/>
        <item x="36"/>
        <item x="230"/>
        <item x="57"/>
        <item x="153"/>
        <item x="65"/>
        <item x="140"/>
        <item x="211"/>
        <item x="270"/>
        <item x="125"/>
        <item x="155"/>
        <item x="294"/>
        <item x="25"/>
        <item x="315"/>
        <item x="316"/>
        <item x="12"/>
        <item x="86"/>
        <item x="259"/>
        <item x="292"/>
        <item x="233"/>
        <item x="271"/>
        <item x="117"/>
        <item x="183"/>
        <item x="278"/>
        <item x="192"/>
        <item x="137"/>
        <item x="114"/>
        <item x="2"/>
        <item x="3"/>
        <item x="181"/>
        <item x="254"/>
        <item x="194"/>
        <item x="283"/>
        <item x="23"/>
        <item x="196"/>
        <item x="40"/>
        <item x="74"/>
        <item x="284"/>
        <item x="96"/>
        <item x="19"/>
        <item x="298"/>
        <item x="47"/>
        <item x="122"/>
        <item x="46"/>
        <item x="160"/>
        <item x="146"/>
        <item x="168"/>
        <item x="288"/>
        <item x="4"/>
        <item x="62"/>
        <item x="262"/>
        <item x="15"/>
        <item x="135"/>
        <item x="71"/>
        <item x="311"/>
        <item x="273"/>
        <item x="54"/>
        <item x="197"/>
        <item x="191"/>
        <item x="67"/>
        <item x="7"/>
        <item x="13"/>
        <item x="77"/>
        <item x="187"/>
        <item x="275"/>
        <item x="218"/>
        <item x="306"/>
        <item x="48"/>
        <item x="56"/>
        <item x="208"/>
        <item x="227"/>
        <item x="305"/>
        <item x="297"/>
        <item x="243"/>
        <item x="302"/>
        <item x="173"/>
        <item x="34"/>
        <item x="224"/>
        <item x="309"/>
        <item x="320"/>
        <item x="39"/>
        <item x="301"/>
        <item x="272"/>
        <item x="165"/>
        <item x="59"/>
        <item x="156"/>
        <item x="110"/>
        <item x="31"/>
        <item x="11"/>
        <item x="221"/>
        <item x="72"/>
        <item x="89"/>
        <item x="164"/>
        <item x="141"/>
        <item x="83"/>
        <item x="256"/>
        <item x="42"/>
        <item x="313"/>
        <item x="210"/>
        <item x="257"/>
        <item x="21"/>
        <item x="266"/>
        <item x="78"/>
        <item x="261"/>
        <item x="246"/>
        <item x="43"/>
        <item x="296"/>
        <item x="1"/>
        <item x="118"/>
        <item x="51"/>
        <item x="180"/>
        <item x="92"/>
        <item x="319"/>
        <item x="52"/>
        <item x="303"/>
        <item x="170"/>
        <item x="85"/>
        <item x="252"/>
        <item x="70"/>
        <item x="207"/>
        <item x="249"/>
        <item x="274"/>
        <item x="269"/>
        <item x="97"/>
        <item x="139"/>
        <item x="24"/>
        <item x="215"/>
        <item x="179"/>
        <item x="310"/>
        <item x="258"/>
        <item x="314"/>
        <item x="300"/>
        <item x="27"/>
        <item x="214"/>
        <item x="131"/>
        <item x="61"/>
        <item x="38"/>
        <item x="87"/>
        <item x="64"/>
        <item x="50"/>
        <item x="260"/>
        <item x="286"/>
        <item x="32"/>
        <item x="119"/>
        <item x="154"/>
        <item x="228"/>
        <item x="53"/>
        <item x="317"/>
        <item x="124"/>
        <item x="169"/>
        <item x="176"/>
        <item x="157"/>
        <item x="68"/>
        <item x="265"/>
        <item x="63"/>
        <item x="28"/>
        <item x="203"/>
        <item x="37"/>
        <item x="190"/>
        <item x="223"/>
        <item x="121"/>
        <item x="195"/>
        <item x="308"/>
        <item x="213"/>
        <item x="26"/>
        <item x="217"/>
        <item x="45"/>
        <item x="105"/>
        <item x="172"/>
        <item x="58"/>
        <item x="236"/>
        <item x="94"/>
        <item x="151"/>
        <item x="148"/>
        <item x="177"/>
        <item x="202"/>
        <item x="49"/>
        <item x="161"/>
        <item x="100"/>
        <item x="291"/>
        <item x="321"/>
        <item t="default"/>
      </items>
    </pivotField>
    <pivotField showAll="0"/>
    <pivotField showAll="0"/>
    <pivotField showAll="0"/>
    <pivotField showAll="0"/>
    <pivotField showAll="0"/>
    <pivotField axis="axisCol" showAll="0">
      <items count="23">
        <item x="11"/>
        <item x="5"/>
        <item x="17"/>
        <item x="14"/>
        <item x="16"/>
        <item x="19"/>
        <item x="18"/>
        <item x="3"/>
        <item x="12"/>
        <item x="2"/>
        <item x="13"/>
        <item x="7"/>
        <item x="20"/>
        <item x="8"/>
        <item x="9"/>
        <item x="15"/>
        <item x="1"/>
        <item x="4"/>
        <item x="6"/>
        <item x="0"/>
        <item x="10"/>
        <item x="21"/>
        <item t="default"/>
      </items>
    </pivotField>
    <pivotField showAll="0"/>
    <pivotField showAll="0"/>
    <pivotField showAll="0"/>
  </pivotFields>
  <rowFields count="1">
    <field x="4"/>
  </rowFields>
  <rowItems count="12">
    <i>
      <x/>
    </i>
    <i>
      <x v="1"/>
    </i>
    <i>
      <x v="2"/>
    </i>
    <i>
      <x v="3"/>
    </i>
    <i>
      <x v="4"/>
    </i>
    <i>
      <x v="5"/>
    </i>
    <i>
      <x v="6"/>
    </i>
    <i>
      <x v="7"/>
    </i>
    <i>
      <x v="8"/>
    </i>
    <i>
      <x v="9"/>
    </i>
    <i>
      <x v="10"/>
    </i>
    <i t="grand">
      <x/>
    </i>
  </rowItems>
  <colFields count="1">
    <field x="16"/>
  </colFields>
  <colItems count="23">
    <i>
      <x/>
    </i>
    <i>
      <x v="1"/>
    </i>
    <i>
      <x v="2"/>
    </i>
    <i>
      <x v="3"/>
    </i>
    <i>
      <x v="4"/>
    </i>
    <i>
      <x v="5"/>
    </i>
    <i>
      <x v="6"/>
    </i>
    <i>
      <x v="7"/>
    </i>
    <i>
      <x v="8"/>
    </i>
    <i>
      <x v="9"/>
    </i>
    <i>
      <x v="10"/>
    </i>
    <i>
      <x v="11"/>
    </i>
    <i>
      <x v="12"/>
    </i>
    <i>
      <x v="13"/>
    </i>
    <i>
      <x v="14"/>
    </i>
    <i>
      <x v="15"/>
    </i>
    <i>
      <x v="16"/>
    </i>
    <i>
      <x v="17"/>
    </i>
    <i>
      <x v="18"/>
    </i>
    <i>
      <x v="19"/>
    </i>
    <i>
      <x v="20"/>
    </i>
    <i>
      <x v="21"/>
    </i>
    <i t="grand">
      <x/>
    </i>
  </colItems>
  <dataFields count="1">
    <dataField name="Count of Cit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4"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G30:M39" firstHeaderRow="1" firstDataRow="2" firstDataCol="1"/>
  <pivotFields count="20">
    <pivotField showAll="0"/>
    <pivotField showAll="0"/>
    <pivotField showAll="0"/>
    <pivotField showAll="0"/>
    <pivotField showAll="0"/>
    <pivotField showAll="0"/>
    <pivotField showAll="0"/>
    <pivotField axis="axisRow" showAll="0">
      <items count="9">
        <item x="4"/>
        <item x="0"/>
        <item x="5"/>
        <item x="6"/>
        <item x="1"/>
        <item x="3"/>
        <item x="2"/>
        <item h="1" x="7"/>
        <item t="default"/>
      </items>
    </pivotField>
    <pivotField showAll="0"/>
    <pivotField showAll="0"/>
    <pivotField showAll="0"/>
    <pivotField axis="axisCol" showAll="0">
      <items count="7">
        <item x="2"/>
        <item x="3"/>
        <item x="4"/>
        <item x="0"/>
        <item x="1"/>
        <item h="1" x="5"/>
        <item t="default"/>
      </items>
    </pivotField>
    <pivotField dataField="1" showAll="0">
      <items count="7">
        <item x="2"/>
        <item x="3"/>
        <item x="0"/>
        <item x="4"/>
        <item x="1"/>
        <item x="5"/>
        <item t="default"/>
      </items>
    </pivotField>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Fields count="1">
    <field x="11"/>
  </colFields>
  <colItems count="6">
    <i>
      <x/>
    </i>
    <i>
      <x v="1"/>
    </i>
    <i>
      <x v="2"/>
    </i>
    <i>
      <x v="3"/>
    </i>
    <i>
      <x v="4"/>
    </i>
    <i t="grand">
      <x/>
    </i>
  </colItems>
  <dataFields count="1">
    <dataField name="Count of Bank_Name" fld="12" subtotal="count" baseField="0" baseItem="0"/>
  </dataFields>
  <chartFormats count="6">
    <chartFormat chart="2" format="12" series="1">
      <pivotArea type="data" outline="0" fieldPosition="0">
        <references count="2">
          <reference field="4294967294" count="1" selected="0">
            <x v="0"/>
          </reference>
          <reference field="11" count="1" selected="0">
            <x v="0"/>
          </reference>
        </references>
      </pivotArea>
    </chartFormat>
    <chartFormat chart="2" format="13" series="1">
      <pivotArea type="data" outline="0" fieldPosition="0">
        <references count="2">
          <reference field="4294967294" count="1" selected="0">
            <x v="0"/>
          </reference>
          <reference field="11" count="1" selected="0">
            <x v="1"/>
          </reference>
        </references>
      </pivotArea>
    </chartFormat>
    <chartFormat chart="2" format="14" series="1">
      <pivotArea type="data" outline="0" fieldPosition="0">
        <references count="2">
          <reference field="4294967294" count="1" selected="0">
            <x v="0"/>
          </reference>
          <reference field="11" count="1" selected="0">
            <x v="2"/>
          </reference>
        </references>
      </pivotArea>
    </chartFormat>
    <chartFormat chart="2" format="15" series="1">
      <pivotArea type="data" outline="0" fieldPosition="0">
        <references count="2">
          <reference field="4294967294" count="1" selected="0">
            <x v="0"/>
          </reference>
          <reference field="11" count="1" selected="0">
            <x v="3"/>
          </reference>
        </references>
      </pivotArea>
    </chartFormat>
    <chartFormat chart="2" format="16" series="1">
      <pivotArea type="data" outline="0" fieldPosition="0">
        <references count="2">
          <reference field="4294967294" count="1" selected="0">
            <x v="0"/>
          </reference>
          <reference field="11" count="1" selected="0">
            <x v="4"/>
          </reference>
        </references>
      </pivotArea>
    </chartFormat>
    <chartFormat chart="2"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9"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I81:Q93" firstHeaderRow="1" firstDataRow="2" firstDataCol="1"/>
  <pivotFields count="22">
    <pivotField showAll="0"/>
    <pivotField showAll="0"/>
    <pivotField showAll="0"/>
    <pivotField showAll="0"/>
    <pivotField axis="axisRow" showAll="0">
      <items count="12">
        <item x="7"/>
        <item x="1"/>
        <item x="2"/>
        <item x="8"/>
        <item x="5"/>
        <item x="0"/>
        <item x="4"/>
        <item x="6"/>
        <item x="9"/>
        <item x="3"/>
        <item h="1" x="10"/>
        <item t="default"/>
      </items>
    </pivotField>
    <pivotField dataField="1" showAll="0">
      <items count="6">
        <item x="1"/>
        <item x="0"/>
        <item x="3"/>
        <item x="2"/>
        <item x="4"/>
        <item t="default"/>
      </items>
    </pivotField>
    <pivotField showAll="0"/>
    <pivotField axis="axisCol" showAll="0">
      <items count="9">
        <item x="4"/>
        <item x="0"/>
        <item x="5"/>
        <item x="6"/>
        <item x="1"/>
        <item x="3"/>
        <item x="2"/>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
    <i>
      <x/>
    </i>
    <i>
      <x v="1"/>
    </i>
    <i>
      <x v="2"/>
    </i>
    <i>
      <x v="3"/>
    </i>
    <i>
      <x v="4"/>
    </i>
    <i>
      <x v="5"/>
    </i>
    <i>
      <x v="6"/>
    </i>
    <i>
      <x v="7"/>
    </i>
    <i>
      <x v="8"/>
    </i>
    <i>
      <x v="9"/>
    </i>
    <i t="grand">
      <x/>
    </i>
  </rowItems>
  <colFields count="1">
    <field x="7"/>
  </colFields>
  <colItems count="8">
    <i>
      <x/>
    </i>
    <i>
      <x v="1"/>
    </i>
    <i>
      <x v="2"/>
    </i>
    <i>
      <x v="3"/>
    </i>
    <i>
      <x v="4"/>
    </i>
    <i>
      <x v="5"/>
    </i>
    <i>
      <x v="6"/>
    </i>
    <i t="grand">
      <x/>
    </i>
  </colItems>
  <dataFields count="1">
    <dataField name="Count of Fuel_Type" fld="5" subtotal="count" baseField="0" baseItem="0"/>
  </dataFields>
  <chartFormats count="8">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 chart="6" format="12" series="1">
      <pivotArea type="data" outline="0" fieldPosition="0">
        <references count="2">
          <reference field="4294967294" count="1" selected="0">
            <x v="0"/>
          </reference>
          <reference field="7" count="1" selected="0">
            <x v="4"/>
          </reference>
        </references>
      </pivotArea>
    </chartFormat>
    <chartFormat chart="6" format="13" series="1">
      <pivotArea type="data" outline="0" fieldPosition="0">
        <references count="2">
          <reference field="4294967294" count="1" selected="0">
            <x v="0"/>
          </reference>
          <reference field="7" count="1" selected="0">
            <x v="5"/>
          </reference>
        </references>
      </pivotArea>
    </chartFormat>
    <chartFormat chart="6" format="14" series="1">
      <pivotArea type="data" outline="0" fieldPosition="0">
        <references count="2">
          <reference field="4294967294" count="1" selected="0">
            <x v="0"/>
          </reference>
          <reference field="7" count="1" selected="0">
            <x v="6"/>
          </reference>
        </references>
      </pivotArea>
    </chartFormat>
    <chartFormat chart="6" format="15" series="1">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5:U77" firstHeaderRow="1" firstDataRow="2" firstDataCol="1"/>
  <pivotFields count="20">
    <pivotField showAll="0"/>
    <pivotField showAll="0"/>
    <pivotField showAll="0"/>
    <pivotField showAll="0"/>
    <pivotField showAll="0"/>
    <pivotField showAll="0"/>
    <pivotField showAll="0">
      <items count="12">
        <item x="7"/>
        <item x="6"/>
        <item x="4"/>
        <item x="5"/>
        <item x="3"/>
        <item x="1"/>
        <item x="8"/>
        <item x="9"/>
        <item x="2"/>
        <item x="0"/>
        <item x="10"/>
        <item t="default"/>
      </items>
    </pivotField>
    <pivotField showAll="0"/>
    <pivotField showAll="0"/>
    <pivotField showAll="0"/>
    <pivotField showAll="0"/>
    <pivotField showAll="0"/>
    <pivotField showAll="0"/>
    <pivotField showAll="0"/>
    <pivotField showAll="0"/>
    <pivotField showAll="0"/>
    <pivotField showAll="0">
      <items count="23">
        <item x="11"/>
        <item x="5"/>
        <item x="17"/>
        <item x="14"/>
        <item x="16"/>
        <item x="19"/>
        <item x="18"/>
        <item x="3"/>
        <item x="12"/>
        <item x="2"/>
        <item x="13"/>
        <item x="7"/>
        <item x="20"/>
        <item x="8"/>
        <item x="9"/>
        <item x="15"/>
        <item x="1"/>
        <item x="4"/>
        <item x="6"/>
        <item x="0"/>
        <item x="10"/>
        <item x="21"/>
        <item t="default"/>
      </items>
    </pivotField>
    <pivotField showAll="0">
      <items count="402">
        <item x="52"/>
        <item x="186"/>
        <item x="145"/>
        <item x="126"/>
        <item x="180"/>
        <item x="50"/>
        <item x="259"/>
        <item x="295"/>
        <item x="49"/>
        <item x="243"/>
        <item x="82"/>
        <item x="83"/>
        <item x="309"/>
        <item x="228"/>
        <item x="283"/>
        <item x="4"/>
        <item x="244"/>
        <item x="80"/>
        <item x="236"/>
        <item x="165"/>
        <item x="143"/>
        <item x="177"/>
        <item x="166"/>
        <item x="147"/>
        <item x="54"/>
        <item x="264"/>
        <item x="253"/>
        <item x="122"/>
        <item x="161"/>
        <item x="37"/>
        <item x="282"/>
        <item x="17"/>
        <item x="77"/>
        <item x="173"/>
        <item x="268"/>
        <item x="276"/>
        <item x="109"/>
        <item x="157"/>
        <item x="57"/>
        <item x="294"/>
        <item x="38"/>
        <item x="252"/>
        <item x="371"/>
        <item x="41"/>
        <item x="381"/>
        <item x="263"/>
        <item x="219"/>
        <item x="313"/>
        <item x="184"/>
        <item x="152"/>
        <item x="333"/>
        <item x="117"/>
        <item x="233"/>
        <item x="104"/>
        <item x="24"/>
        <item x="196"/>
        <item x="324"/>
        <item x="75"/>
        <item x="217"/>
        <item x="348"/>
        <item x="391"/>
        <item x="273"/>
        <item x="200"/>
        <item x="16"/>
        <item x="128"/>
        <item x="231"/>
        <item x="365"/>
        <item x="13"/>
        <item x="95"/>
        <item x="116"/>
        <item x="179"/>
        <item x="171"/>
        <item x="45"/>
        <item x="355"/>
        <item x="1"/>
        <item x="262"/>
        <item x="289"/>
        <item x="91"/>
        <item x="398"/>
        <item x="148"/>
        <item x="214"/>
        <item x="156"/>
        <item x="209"/>
        <item x="265"/>
        <item x="15"/>
        <item x="198"/>
        <item x="399"/>
        <item x="257"/>
        <item x="357"/>
        <item x="281"/>
        <item x="141"/>
        <item x="321"/>
        <item x="191"/>
        <item x="11"/>
        <item x="363"/>
        <item x="336"/>
        <item x="27"/>
        <item x="14"/>
        <item x="303"/>
        <item x="78"/>
        <item x="154"/>
        <item x="387"/>
        <item x="275"/>
        <item x="23"/>
        <item x="21"/>
        <item x="325"/>
        <item x="130"/>
        <item x="79"/>
        <item x="299"/>
        <item x="108"/>
        <item x="322"/>
        <item x="176"/>
        <item x="331"/>
        <item x="247"/>
        <item x="192"/>
        <item x="178"/>
        <item x="85"/>
        <item x="107"/>
        <item x="188"/>
        <item x="81"/>
        <item x="235"/>
        <item x="307"/>
        <item x="94"/>
        <item x="374"/>
        <item x="131"/>
        <item x="56"/>
        <item x="271"/>
        <item x="349"/>
        <item x="388"/>
        <item x="358"/>
        <item x="267"/>
        <item x="193"/>
        <item x="353"/>
        <item x="385"/>
        <item x="225"/>
        <item x="208"/>
        <item x="318"/>
        <item x="70"/>
        <item x="245"/>
        <item x="334"/>
        <item x="39"/>
        <item x="205"/>
        <item x="210"/>
        <item x="31"/>
        <item x="189"/>
        <item x="368"/>
        <item x="30"/>
        <item x="35"/>
        <item x="297"/>
        <item x="20"/>
        <item x="68"/>
        <item x="99"/>
        <item x="215"/>
        <item x="352"/>
        <item x="112"/>
        <item x="223"/>
        <item x="392"/>
        <item x="373"/>
        <item x="206"/>
        <item x="106"/>
        <item x="279"/>
        <item x="383"/>
        <item x="293"/>
        <item x="221"/>
        <item x="380"/>
        <item x="169"/>
        <item x="40"/>
        <item x="48"/>
        <item x="96"/>
        <item x="314"/>
        <item x="317"/>
        <item x="18"/>
        <item x="218"/>
        <item x="323"/>
        <item x="274"/>
        <item x="359"/>
        <item x="58"/>
        <item x="185"/>
        <item x="356"/>
        <item x="226"/>
        <item x="230"/>
        <item x="343"/>
        <item x="366"/>
        <item x="338"/>
        <item x="10"/>
        <item x="316"/>
        <item x="212"/>
        <item x="220"/>
        <item x="250"/>
        <item x="115"/>
        <item x="242"/>
        <item x="300"/>
        <item x="174"/>
        <item x="345"/>
        <item x="136"/>
        <item x="135"/>
        <item x="155"/>
        <item x="246"/>
        <item x="100"/>
        <item x="124"/>
        <item x="153"/>
        <item x="89"/>
        <item x="216"/>
        <item x="375"/>
        <item x="396"/>
        <item x="72"/>
        <item x="28"/>
        <item x="308"/>
        <item x="65"/>
        <item x="164"/>
        <item x="312"/>
        <item x="33"/>
        <item x="167"/>
        <item x="175"/>
        <item x="347"/>
        <item x="47"/>
        <item x="123"/>
        <item x="288"/>
        <item x="139"/>
        <item x="302"/>
        <item x="386"/>
        <item x="367"/>
        <item x="43"/>
        <item x="234"/>
        <item x="158"/>
        <item x="306"/>
        <item x="241"/>
        <item x="125"/>
        <item x="64"/>
        <item x="304"/>
        <item x="287"/>
        <item x="194"/>
        <item x="207"/>
        <item x="292"/>
        <item x="256"/>
        <item x="344"/>
        <item x="103"/>
        <item x="204"/>
        <item x="341"/>
        <item x="229"/>
        <item x="36"/>
        <item x="90"/>
        <item x="159"/>
        <item x="339"/>
        <item x="361"/>
        <item x="251"/>
        <item x="203"/>
        <item x="71"/>
        <item x="113"/>
        <item x="266"/>
        <item x="127"/>
        <item x="61"/>
        <item x="187"/>
        <item x="296"/>
        <item x="84"/>
        <item x="93"/>
        <item x="190"/>
        <item x="182"/>
        <item x="298"/>
        <item x="199"/>
        <item x="232"/>
        <item x="395"/>
        <item x="140"/>
        <item x="102"/>
        <item x="284"/>
        <item x="337"/>
        <item x="168"/>
        <item x="320"/>
        <item x="74"/>
        <item x="88"/>
        <item x="195"/>
        <item x="201"/>
        <item x="120"/>
        <item x="183"/>
        <item x="146"/>
        <item x="315"/>
        <item x="389"/>
        <item x="162"/>
        <item x="290"/>
        <item x="138"/>
        <item x="63"/>
        <item x="239"/>
        <item x="285"/>
        <item x="42"/>
        <item x="238"/>
        <item x="329"/>
        <item x="272"/>
        <item x="26"/>
        <item x="144"/>
        <item x="224"/>
        <item x="86"/>
        <item x="32"/>
        <item x="67"/>
        <item x="46"/>
        <item x="301"/>
        <item x="372"/>
        <item x="270"/>
        <item x="291"/>
        <item x="29"/>
        <item x="132"/>
        <item x="5"/>
        <item x="92"/>
        <item x="197"/>
        <item x="332"/>
        <item x="370"/>
        <item x="62"/>
        <item x="310"/>
        <item x="9"/>
        <item x="393"/>
        <item x="327"/>
        <item x="12"/>
        <item x="258"/>
        <item x="397"/>
        <item x="76"/>
        <item x="394"/>
        <item x="382"/>
        <item x="53"/>
        <item x="222"/>
        <item x="280"/>
        <item x="134"/>
        <item x="149"/>
        <item x="105"/>
        <item x="142"/>
        <item x="227"/>
        <item x="8"/>
        <item x="3"/>
        <item x="379"/>
        <item x="335"/>
        <item x="118"/>
        <item x="73"/>
        <item x="87"/>
        <item x="286"/>
        <item x="277"/>
        <item x="137"/>
        <item x="260"/>
        <item x="163"/>
        <item x="342"/>
        <item x="121"/>
        <item x="369"/>
        <item x="66"/>
        <item x="60"/>
        <item x="111"/>
        <item x="311"/>
        <item x="51"/>
        <item x="98"/>
        <item x="384"/>
        <item x="376"/>
        <item x="340"/>
        <item x="278"/>
        <item x="330"/>
        <item x="255"/>
        <item x="151"/>
        <item x="55"/>
        <item x="7"/>
        <item x="69"/>
        <item x="213"/>
        <item x="22"/>
        <item x="328"/>
        <item x="101"/>
        <item x="364"/>
        <item x="346"/>
        <item x="25"/>
        <item x="360"/>
        <item x="390"/>
        <item x="59"/>
        <item x="34"/>
        <item x="181"/>
        <item x="237"/>
        <item x="44"/>
        <item x="6"/>
        <item x="351"/>
        <item x="150"/>
        <item x="211"/>
        <item x="2"/>
        <item x="172"/>
        <item x="319"/>
        <item x="170"/>
        <item x="19"/>
        <item x="97"/>
        <item x="261"/>
        <item x="240"/>
        <item x="254"/>
        <item x="160"/>
        <item x="378"/>
        <item x="119"/>
        <item x="0"/>
        <item x="350"/>
        <item x="326"/>
        <item x="377"/>
        <item x="362"/>
        <item x="354"/>
        <item x="133"/>
        <item x="248"/>
        <item x="110"/>
        <item x="129"/>
        <item x="305"/>
        <item x="202"/>
        <item x="269"/>
        <item x="114"/>
        <item x="249"/>
        <item x="400"/>
        <item t="default"/>
      </items>
    </pivotField>
    <pivotField axis="axisCol" showAll="0">
      <items count="12">
        <item x="7"/>
        <item x="0"/>
        <item x="4"/>
        <item x="8"/>
        <item x="6"/>
        <item x="5"/>
        <item x="9"/>
        <item x="1"/>
        <item x="3"/>
        <item x="2"/>
        <item x="10"/>
        <item t="default"/>
      </items>
    </pivotField>
    <pivotField dataField="1" showAll="0">
      <items count="402">
        <item x="249"/>
        <item x="133"/>
        <item x="319"/>
        <item x="278"/>
        <item x="384"/>
        <item x="111"/>
        <item x="60"/>
        <item x="342"/>
        <item x="310"/>
        <item x="197"/>
        <item x="144"/>
        <item x="138"/>
        <item x="183"/>
        <item x="232"/>
        <item x="298"/>
        <item x="190"/>
        <item x="127"/>
        <item x="251"/>
        <item x="396"/>
        <item x="153"/>
        <item x="345"/>
        <item x="174"/>
        <item x="250"/>
        <item x="373"/>
        <item x="112"/>
        <item x="99"/>
        <item x="31"/>
        <item x="267"/>
        <item x="387"/>
        <item x="116"/>
        <item x="95"/>
        <item x="13"/>
        <item x="104"/>
        <item x="41"/>
        <item x="276"/>
        <item x="17"/>
        <item x="244"/>
        <item x="305"/>
        <item x="362"/>
        <item x="0"/>
        <item x="378"/>
        <item x="59"/>
        <item x="213"/>
        <item x="330"/>
        <item x="277"/>
        <item x="3"/>
        <item x="9"/>
        <item x="46"/>
        <item x="67"/>
        <item x="315"/>
        <item x="74"/>
        <item x="337"/>
        <item x="187"/>
        <item x="204"/>
        <item x="256"/>
        <item x="234"/>
        <item x="47"/>
        <item x="338"/>
        <item x="230"/>
        <item x="359"/>
        <item x="218"/>
        <item x="314"/>
        <item x="223"/>
        <item x="20"/>
        <item x="318"/>
        <item x="349"/>
        <item x="235"/>
        <item x="188"/>
        <item x="176"/>
        <item x="27"/>
        <item x="363"/>
        <item x="321"/>
        <item x="15"/>
        <item x="231"/>
        <item x="348"/>
        <item x="381"/>
        <item x="294"/>
        <item x="264"/>
        <item x="177"/>
        <item x="236"/>
        <item x="283"/>
        <item x="49"/>
        <item x="295"/>
        <item x="180"/>
        <item x="52"/>
        <item x="34"/>
        <item x="101"/>
        <item x="55"/>
        <item x="369"/>
        <item x="286"/>
        <item x="5"/>
        <item x="272"/>
        <item x="329"/>
        <item x="290"/>
        <item x="199"/>
        <item x="296"/>
        <item x="341"/>
        <item x="158"/>
        <item x="175"/>
        <item x="136"/>
        <item x="185"/>
        <item x="96"/>
        <item x="380"/>
        <item x="35"/>
        <item x="225"/>
        <item x="193"/>
        <item x="358"/>
        <item x="388"/>
        <item x="81"/>
        <item x="322"/>
        <item x="275"/>
        <item x="336"/>
        <item x="333"/>
        <item x="152"/>
        <item x="38"/>
        <item x="282"/>
        <item x="143"/>
        <item x="83"/>
        <item x="82"/>
        <item x="145"/>
        <item x="114"/>
        <item x="119"/>
        <item x="360"/>
        <item x="25"/>
        <item x="364"/>
        <item x="340"/>
        <item x="311"/>
        <item x="105"/>
        <item x="397"/>
        <item x="327"/>
        <item x="62"/>
        <item x="332"/>
        <item x="86"/>
        <item x="238"/>
        <item x="42"/>
        <item x="93"/>
        <item x="84"/>
        <item x="113"/>
        <item x="386"/>
        <item x="288"/>
        <item x="65"/>
        <item x="124"/>
        <item x="246"/>
        <item x="155"/>
        <item x="300"/>
        <item x="212"/>
        <item x="48"/>
        <item x="106"/>
        <item x="208"/>
        <item x="178"/>
        <item x="192"/>
        <item x="141"/>
        <item x="399"/>
        <item x="398"/>
        <item x="200"/>
        <item x="391"/>
        <item x="184"/>
        <item x="219"/>
        <item x="371"/>
        <item x="109"/>
        <item x="228"/>
        <item x="129"/>
        <item x="377"/>
        <item x="254"/>
        <item x="240"/>
        <item x="97"/>
        <item x="172"/>
        <item x="44"/>
        <item x="87"/>
        <item x="8"/>
        <item x="134"/>
        <item x="382"/>
        <item x="301"/>
        <item x="32"/>
        <item x="195"/>
        <item x="140"/>
        <item x="203"/>
        <item x="361"/>
        <item x="207"/>
        <item x="302"/>
        <item x="347"/>
        <item x="312"/>
        <item x="216"/>
        <item x="274"/>
        <item x="279"/>
        <item x="206"/>
        <item x="352"/>
        <item x="368"/>
        <item x="56"/>
        <item x="94"/>
        <item x="23"/>
        <item x="78"/>
        <item x="303"/>
        <item x="14"/>
        <item x="357"/>
        <item x="148"/>
        <item x="355"/>
        <item x="16"/>
        <item x="233"/>
        <item x="173"/>
        <item x="253"/>
        <item x="166"/>
        <item x="165"/>
        <item x="110"/>
        <item x="6"/>
        <item x="390"/>
        <item x="51"/>
        <item x="163"/>
        <item x="222"/>
        <item x="370"/>
        <item x="270"/>
        <item x="63"/>
        <item x="168"/>
        <item x="102"/>
        <item x="182"/>
        <item x="61"/>
        <item x="159"/>
        <item x="103"/>
        <item x="292"/>
        <item x="125"/>
        <item x="139"/>
        <item x="33"/>
        <item x="164"/>
        <item x="28"/>
        <item x="135"/>
        <item x="115"/>
        <item x="220"/>
        <item x="343"/>
        <item x="58"/>
        <item x="297"/>
        <item x="205"/>
        <item x="39"/>
        <item x="245"/>
        <item x="271"/>
        <item x="85"/>
        <item x="79"/>
        <item x="257"/>
        <item x="289"/>
        <item x="313"/>
        <item x="268"/>
        <item x="50"/>
        <item x="354"/>
        <item x="326"/>
        <item x="261"/>
        <item x="170"/>
        <item x="150"/>
        <item x="351"/>
        <item x="181"/>
        <item x="346"/>
        <item x="151"/>
        <item x="137"/>
        <item x="379"/>
        <item x="149"/>
        <item x="53"/>
        <item x="132"/>
        <item x="29"/>
        <item x="372"/>
        <item x="239"/>
        <item x="162"/>
        <item x="320"/>
        <item x="339"/>
        <item x="64"/>
        <item x="306"/>
        <item x="308"/>
        <item x="375"/>
        <item x="100"/>
        <item x="366"/>
        <item x="226"/>
        <item x="323"/>
        <item x="293"/>
        <item x="383"/>
        <item x="392"/>
        <item x="189"/>
        <item x="385"/>
        <item x="374"/>
        <item x="331"/>
        <item x="130"/>
        <item x="156"/>
        <item x="324"/>
        <item x="309"/>
        <item x="186"/>
        <item x="269"/>
        <item x="19"/>
        <item x="237"/>
        <item x="69"/>
        <item x="7"/>
        <item x="66"/>
        <item x="260"/>
        <item x="73"/>
        <item x="227"/>
        <item x="142"/>
        <item x="280"/>
        <item x="394"/>
        <item x="393"/>
        <item x="26"/>
        <item x="284"/>
        <item x="266"/>
        <item x="90"/>
        <item x="43"/>
        <item x="89"/>
        <item x="356"/>
        <item x="210"/>
        <item x="353"/>
        <item x="131"/>
        <item x="107"/>
        <item x="247"/>
        <item x="108"/>
        <item x="191"/>
        <item x="198"/>
        <item x="214"/>
        <item x="262"/>
        <item x="1"/>
        <item x="45"/>
        <item x="171"/>
        <item x="365"/>
        <item x="128"/>
        <item x="196"/>
        <item x="263"/>
        <item x="243"/>
        <item x="202"/>
        <item x="350"/>
        <item x="328"/>
        <item x="376"/>
        <item x="98"/>
        <item x="335"/>
        <item x="76"/>
        <item x="258"/>
        <item x="12"/>
        <item x="92"/>
        <item x="224"/>
        <item x="285"/>
        <item x="146"/>
        <item x="201"/>
        <item x="88"/>
        <item x="395"/>
        <item x="304"/>
        <item x="367"/>
        <item x="167"/>
        <item x="242"/>
        <item x="10"/>
        <item x="18"/>
        <item x="169"/>
        <item x="221"/>
        <item x="215"/>
        <item x="68"/>
        <item x="30"/>
        <item x="334"/>
        <item x="70"/>
        <item x="117"/>
        <item x="157"/>
        <item x="77"/>
        <item x="147"/>
        <item x="80"/>
        <item x="4"/>
        <item x="259"/>
        <item x="126"/>
        <item x="248"/>
        <item x="160"/>
        <item x="2"/>
        <item x="211"/>
        <item x="22"/>
        <item x="255"/>
        <item x="121"/>
        <item x="118"/>
        <item x="291"/>
        <item x="389"/>
        <item x="120"/>
        <item x="71"/>
        <item x="36"/>
        <item x="229"/>
        <item x="344"/>
        <item x="194"/>
        <item x="287"/>
        <item x="241"/>
        <item x="123"/>
        <item x="72"/>
        <item x="316"/>
        <item x="317"/>
        <item x="40"/>
        <item x="307"/>
        <item x="299"/>
        <item x="325"/>
        <item x="21"/>
        <item x="154"/>
        <item x="11"/>
        <item x="281"/>
        <item x="265"/>
        <item x="209"/>
        <item x="91"/>
        <item x="179"/>
        <item x="273"/>
        <item x="217"/>
        <item x="75"/>
        <item x="24"/>
        <item x="252"/>
        <item x="57"/>
        <item x="37"/>
        <item x="161"/>
        <item x="122"/>
        <item x="54"/>
        <item x="400"/>
        <item t="default"/>
      </items>
    </pivotField>
  </pivotFields>
  <rowItems count="1">
    <i/>
  </rowItems>
  <colFields count="1">
    <field x="18"/>
  </colFields>
  <colItems count="12">
    <i>
      <x/>
    </i>
    <i>
      <x v="1"/>
    </i>
    <i>
      <x v="2"/>
    </i>
    <i>
      <x v="3"/>
    </i>
    <i>
      <x v="4"/>
    </i>
    <i>
      <x v="5"/>
    </i>
    <i>
      <x v="6"/>
    </i>
    <i>
      <x v="7"/>
    </i>
    <i>
      <x v="8"/>
    </i>
    <i>
      <x v="9"/>
    </i>
    <i>
      <x v="10"/>
    </i>
    <i t="grand">
      <x/>
    </i>
  </colItems>
  <dataFields count="1">
    <dataField name="Count of Final_Amount_INR"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46:O54" firstHeaderRow="1" firstDataRow="2" firstDataCol="1"/>
  <pivotFields count="20">
    <pivotField showAll="0"/>
    <pivotField showAll="0"/>
    <pivotField showAll="0"/>
    <pivotField showAll="0"/>
    <pivotField showAll="0"/>
    <pivotField showAll="0"/>
    <pivotField dataField="1" showAll="0">
      <items count="12">
        <item x="7"/>
        <item x="6"/>
        <item x="4"/>
        <item x="5"/>
        <item x="3"/>
        <item x="1"/>
        <item x="8"/>
        <item x="9"/>
        <item x="2"/>
        <item x="0"/>
        <item x="10"/>
        <item t="default"/>
      </items>
    </pivotField>
    <pivotField showAll="0"/>
    <pivotField showAll="0"/>
    <pivotField showAll="0"/>
    <pivotField showAll="0"/>
    <pivotField showAll="0"/>
    <pivotField axis="axisRow" showAll="0">
      <items count="7">
        <item x="2"/>
        <item x="3"/>
        <item x="0"/>
        <item x="4"/>
        <item x="1"/>
        <item x="5"/>
        <item t="default"/>
      </items>
    </pivotField>
    <pivotField showAll="0"/>
    <pivotField showAll="0"/>
    <pivotField axis="axisCol" showAll="0">
      <items count="6">
        <item x="1"/>
        <item x="0"/>
        <item x="2"/>
        <item x="3"/>
        <item x="4"/>
        <item t="default"/>
      </items>
    </pivotField>
    <pivotField showAll="0"/>
    <pivotField showAll="0"/>
    <pivotField showAll="0"/>
    <pivotField showAll="0"/>
  </pivotFields>
  <rowFields count="1">
    <field x="12"/>
  </rowFields>
  <rowItems count="7">
    <i>
      <x/>
    </i>
    <i>
      <x v="1"/>
    </i>
    <i>
      <x v="2"/>
    </i>
    <i>
      <x v="3"/>
    </i>
    <i>
      <x v="4"/>
    </i>
    <i>
      <x v="5"/>
    </i>
    <i t="grand">
      <x/>
    </i>
  </rowItems>
  <colFields count="1">
    <field x="15"/>
  </colFields>
  <colItems count="6">
    <i>
      <x/>
    </i>
    <i>
      <x v="1"/>
    </i>
    <i>
      <x v="2"/>
    </i>
    <i>
      <x v="3"/>
    </i>
    <i>
      <x v="4"/>
    </i>
    <i t="grand">
      <x/>
    </i>
  </colItems>
  <dataFields count="1">
    <dataField name="Count of City"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00:C117"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88:A89" firstHeaderRow="1" firstDataRow="1" firstDataCol="0"/>
  <pivotFields count="22">
    <pivotField showAll="0"/>
    <pivotField showAll="0"/>
    <pivotField showAll="0"/>
    <pivotField showAll="0"/>
    <pivotField showAll="0"/>
    <pivotField showAll="0">
      <items count="6">
        <item x="1"/>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02">
        <item x="249"/>
        <item x="133"/>
        <item x="319"/>
        <item x="278"/>
        <item x="384"/>
        <item x="111"/>
        <item x="60"/>
        <item x="342"/>
        <item x="310"/>
        <item x="197"/>
        <item x="144"/>
        <item x="138"/>
        <item x="183"/>
        <item x="232"/>
        <item x="298"/>
        <item x="190"/>
        <item x="127"/>
        <item x="251"/>
        <item x="396"/>
        <item x="153"/>
        <item x="345"/>
        <item x="174"/>
        <item x="250"/>
        <item x="373"/>
        <item x="112"/>
        <item x="99"/>
        <item x="31"/>
        <item x="267"/>
        <item x="387"/>
        <item x="116"/>
        <item x="95"/>
        <item x="13"/>
        <item x="104"/>
        <item x="41"/>
        <item x="276"/>
        <item x="17"/>
        <item x="244"/>
        <item x="305"/>
        <item x="362"/>
        <item x="0"/>
        <item x="378"/>
        <item x="59"/>
        <item x="213"/>
        <item x="330"/>
        <item x="277"/>
        <item x="3"/>
        <item x="9"/>
        <item x="46"/>
        <item x="67"/>
        <item x="315"/>
        <item x="74"/>
        <item x="337"/>
        <item x="187"/>
        <item x="204"/>
        <item x="256"/>
        <item x="234"/>
        <item x="47"/>
        <item x="338"/>
        <item x="230"/>
        <item x="359"/>
        <item x="218"/>
        <item x="314"/>
        <item x="223"/>
        <item x="20"/>
        <item x="318"/>
        <item x="349"/>
        <item x="235"/>
        <item x="188"/>
        <item x="176"/>
        <item x="27"/>
        <item x="363"/>
        <item x="321"/>
        <item x="15"/>
        <item x="231"/>
        <item x="348"/>
        <item x="381"/>
        <item x="294"/>
        <item x="264"/>
        <item x="177"/>
        <item x="236"/>
        <item x="283"/>
        <item x="49"/>
        <item x="295"/>
        <item x="180"/>
        <item x="52"/>
        <item x="34"/>
        <item x="101"/>
        <item x="55"/>
        <item x="369"/>
        <item x="286"/>
        <item x="5"/>
        <item x="272"/>
        <item x="329"/>
        <item x="290"/>
        <item x="199"/>
        <item x="296"/>
        <item x="341"/>
        <item x="158"/>
        <item x="175"/>
        <item x="136"/>
        <item x="185"/>
        <item x="96"/>
        <item x="380"/>
        <item x="35"/>
        <item x="225"/>
        <item x="193"/>
        <item x="358"/>
        <item x="388"/>
        <item x="81"/>
        <item x="322"/>
        <item x="275"/>
        <item x="336"/>
        <item x="333"/>
        <item x="152"/>
        <item x="38"/>
        <item x="282"/>
        <item x="143"/>
        <item x="83"/>
        <item x="82"/>
        <item x="145"/>
        <item x="114"/>
        <item x="119"/>
        <item x="360"/>
        <item x="25"/>
        <item x="364"/>
        <item x="340"/>
        <item x="311"/>
        <item x="105"/>
        <item x="397"/>
        <item x="327"/>
        <item x="62"/>
        <item x="332"/>
        <item x="86"/>
        <item x="238"/>
        <item x="42"/>
        <item x="93"/>
        <item x="84"/>
        <item x="113"/>
        <item x="386"/>
        <item x="288"/>
        <item x="65"/>
        <item x="124"/>
        <item x="246"/>
        <item x="155"/>
        <item x="300"/>
        <item x="212"/>
        <item x="48"/>
        <item x="106"/>
        <item x="208"/>
        <item x="178"/>
        <item x="192"/>
        <item x="141"/>
        <item x="399"/>
        <item x="398"/>
        <item x="200"/>
        <item x="391"/>
        <item x="184"/>
        <item x="219"/>
        <item x="371"/>
        <item x="109"/>
        <item x="228"/>
        <item x="129"/>
        <item x="377"/>
        <item x="254"/>
        <item x="240"/>
        <item x="97"/>
        <item x="172"/>
        <item x="44"/>
        <item x="87"/>
        <item x="8"/>
        <item x="134"/>
        <item x="382"/>
        <item x="301"/>
        <item x="32"/>
        <item x="195"/>
        <item x="140"/>
        <item x="203"/>
        <item x="361"/>
        <item x="207"/>
        <item x="302"/>
        <item x="347"/>
        <item x="312"/>
        <item x="216"/>
        <item x="274"/>
        <item x="279"/>
        <item x="206"/>
        <item x="352"/>
        <item x="368"/>
        <item x="56"/>
        <item x="94"/>
        <item x="23"/>
        <item x="78"/>
        <item x="303"/>
        <item x="14"/>
        <item x="357"/>
        <item x="148"/>
        <item x="355"/>
        <item x="16"/>
        <item x="233"/>
        <item x="173"/>
        <item x="253"/>
        <item x="166"/>
        <item x="165"/>
        <item x="110"/>
        <item x="6"/>
        <item x="390"/>
        <item x="51"/>
        <item x="163"/>
        <item x="222"/>
        <item x="370"/>
        <item x="270"/>
        <item x="63"/>
        <item x="168"/>
        <item x="102"/>
        <item x="182"/>
        <item x="61"/>
        <item x="159"/>
        <item x="103"/>
        <item x="292"/>
        <item x="125"/>
        <item x="139"/>
        <item x="33"/>
        <item x="164"/>
        <item x="28"/>
        <item x="135"/>
        <item x="115"/>
        <item x="220"/>
        <item x="343"/>
        <item x="58"/>
        <item x="297"/>
        <item x="205"/>
        <item x="39"/>
        <item x="245"/>
        <item x="271"/>
        <item x="85"/>
        <item x="79"/>
        <item x="257"/>
        <item x="289"/>
        <item x="313"/>
        <item x="268"/>
        <item x="50"/>
        <item x="354"/>
        <item x="326"/>
        <item x="261"/>
        <item x="170"/>
        <item x="150"/>
        <item x="351"/>
        <item x="181"/>
        <item x="346"/>
        <item x="151"/>
        <item x="137"/>
        <item x="379"/>
        <item x="149"/>
        <item x="53"/>
        <item x="132"/>
        <item x="29"/>
        <item x="372"/>
        <item x="239"/>
        <item x="162"/>
        <item x="320"/>
        <item x="339"/>
        <item x="64"/>
        <item x="306"/>
        <item x="308"/>
        <item x="375"/>
        <item x="100"/>
        <item x="366"/>
        <item x="226"/>
        <item x="323"/>
        <item x="293"/>
        <item x="383"/>
        <item x="392"/>
        <item x="189"/>
        <item x="385"/>
        <item x="374"/>
        <item x="331"/>
        <item x="130"/>
        <item x="156"/>
        <item x="324"/>
        <item x="309"/>
        <item x="186"/>
        <item x="269"/>
        <item x="19"/>
        <item x="237"/>
        <item x="69"/>
        <item x="7"/>
        <item x="66"/>
        <item x="260"/>
        <item x="73"/>
        <item x="227"/>
        <item x="142"/>
        <item x="280"/>
        <item x="394"/>
        <item x="393"/>
        <item x="26"/>
        <item x="284"/>
        <item x="266"/>
        <item x="90"/>
        <item x="43"/>
        <item x="89"/>
        <item x="356"/>
        <item x="210"/>
        <item x="353"/>
        <item x="131"/>
        <item x="107"/>
        <item x="247"/>
        <item x="108"/>
        <item x="191"/>
        <item x="198"/>
        <item x="214"/>
        <item x="262"/>
        <item x="1"/>
        <item x="45"/>
        <item x="171"/>
        <item x="365"/>
        <item x="128"/>
        <item x="196"/>
        <item x="263"/>
        <item x="243"/>
        <item x="202"/>
        <item x="350"/>
        <item x="328"/>
        <item x="376"/>
        <item x="98"/>
        <item x="335"/>
        <item x="76"/>
        <item x="258"/>
        <item x="12"/>
        <item x="92"/>
        <item x="224"/>
        <item x="285"/>
        <item x="146"/>
        <item x="201"/>
        <item x="88"/>
        <item x="395"/>
        <item x="304"/>
        <item x="367"/>
        <item x="167"/>
        <item x="242"/>
        <item x="10"/>
        <item x="18"/>
        <item x="169"/>
        <item x="221"/>
        <item x="215"/>
        <item x="68"/>
        <item x="30"/>
        <item x="334"/>
        <item x="70"/>
        <item x="117"/>
        <item x="157"/>
        <item x="77"/>
        <item x="147"/>
        <item x="80"/>
        <item x="4"/>
        <item x="259"/>
        <item x="126"/>
        <item x="248"/>
        <item x="160"/>
        <item x="2"/>
        <item x="211"/>
        <item x="22"/>
        <item x="255"/>
        <item x="121"/>
        <item x="118"/>
        <item x="291"/>
        <item x="389"/>
        <item x="120"/>
        <item x="71"/>
        <item x="36"/>
        <item x="229"/>
        <item x="344"/>
        <item x="194"/>
        <item x="287"/>
        <item x="241"/>
        <item x="123"/>
        <item x="72"/>
        <item x="316"/>
        <item x="317"/>
        <item x="40"/>
        <item x="307"/>
        <item x="299"/>
        <item x="325"/>
        <item x="21"/>
        <item x="154"/>
        <item x="11"/>
        <item x="281"/>
        <item x="265"/>
        <item x="209"/>
        <item x="91"/>
        <item x="179"/>
        <item x="273"/>
        <item x="217"/>
        <item x="75"/>
        <item x="24"/>
        <item x="252"/>
        <item x="57"/>
        <item x="37"/>
        <item x="161"/>
        <item x="122"/>
        <item x="54"/>
        <item x="400"/>
        <item t="default"/>
      </items>
    </pivotField>
    <pivotField showAll="0"/>
    <pivotField showAll="0"/>
  </pivotFields>
  <rowItems count="1">
    <i/>
  </rowItems>
  <colItems count="1">
    <i/>
  </colItems>
  <dataFields count="1">
    <dataField name="Amount_INR of sales " fld="19" baseField="0" baseItem="8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
  <location ref="G17:M26" firstHeaderRow="1" firstDataRow="2" firstDataCol="1"/>
  <pivotFields count="20">
    <pivotField showAll="0"/>
    <pivotField showAll="0"/>
    <pivotField showAll="0"/>
    <pivotField showAll="0"/>
    <pivotField dataField="1" showAll="0">
      <items count="12">
        <item x="7"/>
        <item x="1"/>
        <item x="2"/>
        <item x="8"/>
        <item x="5"/>
        <item x="0"/>
        <item x="4"/>
        <item x="6"/>
        <item x="9"/>
        <item x="3"/>
        <item x="10"/>
        <item t="default"/>
      </items>
    </pivotField>
    <pivotField showAll="0"/>
    <pivotField showAll="0"/>
    <pivotField axis="axisRow" showAll="0">
      <items count="9">
        <item x="4"/>
        <item x="0"/>
        <item x="5"/>
        <item x="6"/>
        <item x="1"/>
        <item x="3"/>
        <item x="2"/>
        <item h="1" x="7"/>
        <item t="default"/>
      </items>
    </pivotField>
    <pivotField axis="axisCol" showAll="0">
      <items count="7">
        <item x="3"/>
        <item x="0"/>
        <item x="2"/>
        <item x="1"/>
        <item x="4"/>
        <item h="1"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8">
    <i>
      <x/>
    </i>
    <i>
      <x v="1"/>
    </i>
    <i>
      <x v="2"/>
    </i>
    <i>
      <x v="3"/>
    </i>
    <i>
      <x v="4"/>
    </i>
    <i>
      <x v="5"/>
    </i>
    <i>
      <x v="6"/>
    </i>
    <i t="grand">
      <x/>
    </i>
  </rowItems>
  <colFields count="1">
    <field x="8"/>
  </colFields>
  <colItems count="6">
    <i>
      <x/>
    </i>
    <i>
      <x v="1"/>
    </i>
    <i>
      <x v="2"/>
    </i>
    <i>
      <x v="3"/>
    </i>
    <i>
      <x v="4"/>
    </i>
    <i t="grand">
      <x/>
    </i>
  </colItems>
  <dataFields count="1">
    <dataField name="Count of Model" fld="4" subtotal="count" baseField="0" baseItem="0"/>
  </dataFields>
  <chartFormats count="6">
    <chartFormat chart="2" format="12" series="1">
      <pivotArea type="data" outline="0" fieldPosition="0">
        <references count="2">
          <reference field="4294967294" count="1" selected="0">
            <x v="0"/>
          </reference>
          <reference field="8" count="1" selected="0">
            <x v="0"/>
          </reference>
        </references>
      </pivotArea>
    </chartFormat>
    <chartFormat chart="2" format="13" series="1">
      <pivotArea type="data" outline="0" fieldPosition="0">
        <references count="2">
          <reference field="4294967294" count="1" selected="0">
            <x v="0"/>
          </reference>
          <reference field="8" count="1" selected="0">
            <x v="1"/>
          </reference>
        </references>
      </pivotArea>
    </chartFormat>
    <chartFormat chart="2" format="14" series="1">
      <pivotArea type="data" outline="0" fieldPosition="0">
        <references count="2">
          <reference field="4294967294" count="1" selected="0">
            <x v="0"/>
          </reference>
          <reference field="8" count="1" selected="0">
            <x v="2"/>
          </reference>
        </references>
      </pivotArea>
    </chartFormat>
    <chartFormat chart="2" format="15" series="1">
      <pivotArea type="data" outline="0" fieldPosition="0">
        <references count="2">
          <reference field="4294967294" count="1" selected="0">
            <x v="0"/>
          </reference>
          <reference field="8" count="1" selected="0">
            <x v="3"/>
          </reference>
        </references>
      </pivotArea>
    </chartFormat>
    <chartFormat chart="2" format="16" series="1">
      <pivotArea type="data" outline="0" fieldPosition="0">
        <references count="2">
          <reference field="4294967294" count="1" selected="0">
            <x v="0"/>
          </reference>
          <reference field="8" count="1" selected="0">
            <x v="4"/>
          </reference>
        </references>
      </pivotArea>
    </chartFormat>
    <chartFormat chart="2" format="17" series="1">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0000000-0013-0000-FFFF-FFFF01000000}" sourceName="State">
  <pivotTables>
    <pivotTable tabId="4" name="PivotTable2"/>
  </pivotTables>
  <data>
    <tabular pivotCacheId="1">
      <items count="8">
        <i x="4" s="1"/>
        <i x="0" s="1"/>
        <i x="5" s="1"/>
        <i x="6" s="1"/>
        <i x="1" s="1"/>
        <i x="3" s="1"/>
        <i x="2"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00000000-0013-0000-FFFF-FFFF02000000}" sourceName="Model">
  <pivotTables>
    <pivotTable tabId="4" name="PivotTable7"/>
  </pivotTables>
  <data>
    <tabular pivotCacheId="1">
      <items count="11">
        <i x="7" s="1"/>
        <i x="1" s="1"/>
        <i x="2" s="1"/>
        <i x="8" s="1"/>
        <i x="5" s="1"/>
        <i x="0" s="1"/>
        <i x="4" s="1"/>
        <i x="6" s="1"/>
        <i x="9" s="1"/>
        <i x="3"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00000000-0013-0000-FFFF-FFFF03000000}" sourceName="State">
  <pivotTables>
    <pivotTable tabId="4" name="PivotTable7"/>
  </pivotTables>
  <data>
    <tabular pivotCacheId="1">
      <items count="8">
        <i x="4" s="1"/>
        <i x="0" s="1"/>
        <i x="5" s="1"/>
        <i x="6" s="1"/>
        <i x="1" s="1"/>
        <i x="3" s="1"/>
        <i x="2"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00000000-0014-0000-FFFF-FFFF01000000}" cache="Slicer_State" caption="State" rowHeight="241300"/>
  <slicer name="Model" xr10:uid="{00000000-0014-0000-FFFF-FFFF02000000}" cache="Slicer_Model" caption="Model" rowHeight="241300"/>
  <slicer name="State 1" xr10:uid="{00000000-0014-0000-FFFF-FFFF03000000}" cache="Slicer_State1" caption="St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21"/>
  <sheetViews>
    <sheetView workbookViewId="0">
      <selection activeCell="E16" sqref="E16"/>
    </sheetView>
  </sheetViews>
  <sheetFormatPr defaultRowHeight="14.4" x14ac:dyDescent="0.3"/>
  <cols>
    <col min="2" max="2" width="14.5546875" customWidth="1"/>
    <col min="6" max="6" width="10.88671875" customWidth="1"/>
    <col min="9" max="9" width="12" customWidth="1"/>
    <col min="10" max="10" width="17.109375" customWidth="1"/>
    <col min="11" max="11" width="13" customWidth="1"/>
    <col min="12" max="12" width="12.88671875" customWidth="1"/>
    <col min="16" max="16" width="12.88671875" customWidth="1"/>
    <col min="20" max="20" width="15.33203125" style="3"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3" t="s">
        <v>19</v>
      </c>
    </row>
    <row r="2" spans="1:20" x14ac:dyDescent="0.3">
      <c r="A2">
        <v>1001</v>
      </c>
      <c r="B2" t="s">
        <v>20</v>
      </c>
      <c r="C2" t="s">
        <v>21</v>
      </c>
      <c r="D2">
        <v>52</v>
      </c>
      <c r="E2" t="s">
        <v>22</v>
      </c>
      <c r="F2" t="s">
        <v>23</v>
      </c>
      <c r="G2" t="s">
        <v>24</v>
      </c>
      <c r="H2" t="s">
        <v>25</v>
      </c>
      <c r="I2" t="s">
        <v>26</v>
      </c>
      <c r="J2" t="s">
        <v>27</v>
      </c>
      <c r="K2" t="s">
        <v>28</v>
      </c>
      <c r="L2" t="s">
        <v>29</v>
      </c>
      <c r="M2" t="s">
        <v>30</v>
      </c>
      <c r="N2" t="s">
        <v>31</v>
      </c>
      <c r="O2">
        <v>4</v>
      </c>
      <c r="P2" t="s">
        <v>32</v>
      </c>
      <c r="Q2">
        <v>24</v>
      </c>
      <c r="R2">
        <v>291256</v>
      </c>
      <c r="S2">
        <v>756000</v>
      </c>
      <c r="T2" s="3">
        <v>4664744</v>
      </c>
    </row>
    <row r="3" spans="1:20" x14ac:dyDescent="0.3">
      <c r="A3">
        <v>1002</v>
      </c>
      <c r="B3" t="s">
        <v>33</v>
      </c>
      <c r="C3" t="s">
        <v>34</v>
      </c>
      <c r="D3">
        <v>50</v>
      </c>
      <c r="E3" t="s">
        <v>35</v>
      </c>
      <c r="F3" t="s">
        <v>36</v>
      </c>
      <c r="G3" t="s">
        <v>37</v>
      </c>
      <c r="H3" t="s">
        <v>38</v>
      </c>
      <c r="I3" t="s">
        <v>39</v>
      </c>
      <c r="J3" t="s">
        <v>40</v>
      </c>
      <c r="K3" t="s">
        <v>41</v>
      </c>
      <c r="L3" t="s">
        <v>42</v>
      </c>
      <c r="M3" t="s">
        <v>43</v>
      </c>
      <c r="N3" t="s">
        <v>31</v>
      </c>
      <c r="O3">
        <v>3</v>
      </c>
      <c r="P3" t="s">
        <v>44</v>
      </c>
      <c r="Q3">
        <v>21</v>
      </c>
      <c r="R3">
        <v>94767</v>
      </c>
      <c r="S3">
        <v>1764000</v>
      </c>
      <c r="T3" s="3">
        <v>11469233</v>
      </c>
    </row>
    <row r="4" spans="1:20" x14ac:dyDescent="0.3">
      <c r="A4">
        <v>1003</v>
      </c>
      <c r="B4" t="s">
        <v>45</v>
      </c>
      <c r="C4" t="s">
        <v>34</v>
      </c>
      <c r="D4">
        <v>60</v>
      </c>
      <c r="E4" t="s">
        <v>46</v>
      </c>
      <c r="F4" t="s">
        <v>36</v>
      </c>
      <c r="G4" t="s">
        <v>47</v>
      </c>
      <c r="H4" t="s">
        <v>25</v>
      </c>
      <c r="I4" t="s">
        <v>48</v>
      </c>
      <c r="J4" t="s">
        <v>49</v>
      </c>
      <c r="K4" t="s">
        <v>50</v>
      </c>
      <c r="L4" t="s">
        <v>42</v>
      </c>
      <c r="M4" t="s">
        <v>51</v>
      </c>
      <c r="N4" t="s">
        <v>52</v>
      </c>
      <c r="O4">
        <v>3</v>
      </c>
      <c r="P4" t="s">
        <v>53</v>
      </c>
      <c r="Q4">
        <v>14</v>
      </c>
      <c r="R4">
        <v>284831</v>
      </c>
      <c r="S4">
        <v>5760000</v>
      </c>
      <c r="T4" s="3">
        <v>37475169</v>
      </c>
    </row>
    <row r="5" spans="1:20" x14ac:dyDescent="0.3">
      <c r="A5">
        <v>1004</v>
      </c>
      <c r="B5" t="s">
        <v>54</v>
      </c>
      <c r="C5" t="s">
        <v>34</v>
      </c>
      <c r="D5">
        <v>29</v>
      </c>
      <c r="E5" t="s">
        <v>22</v>
      </c>
      <c r="F5" t="s">
        <v>55</v>
      </c>
      <c r="G5" t="s">
        <v>56</v>
      </c>
      <c r="H5" t="s">
        <v>57</v>
      </c>
      <c r="I5" t="s">
        <v>26</v>
      </c>
      <c r="J5" t="s">
        <v>49</v>
      </c>
      <c r="K5" t="s">
        <v>58</v>
      </c>
      <c r="L5" t="s">
        <v>59</v>
      </c>
      <c r="M5" t="s">
        <v>43</v>
      </c>
      <c r="N5" t="s">
        <v>52</v>
      </c>
      <c r="O5">
        <v>3</v>
      </c>
      <c r="P5" t="s">
        <v>32</v>
      </c>
      <c r="Q5">
        <v>12</v>
      </c>
      <c r="R5">
        <v>251959</v>
      </c>
      <c r="S5">
        <v>756000</v>
      </c>
      <c r="T5" s="3">
        <v>4704041</v>
      </c>
    </row>
    <row r="6" spans="1:20" x14ac:dyDescent="0.3">
      <c r="A6">
        <v>1005</v>
      </c>
      <c r="B6" t="s">
        <v>60</v>
      </c>
      <c r="C6" t="s">
        <v>34</v>
      </c>
      <c r="D6">
        <v>51</v>
      </c>
      <c r="E6" t="s">
        <v>61</v>
      </c>
      <c r="F6" t="s">
        <v>62</v>
      </c>
      <c r="G6" t="s">
        <v>63</v>
      </c>
      <c r="H6" t="s">
        <v>64</v>
      </c>
      <c r="I6" t="s">
        <v>48</v>
      </c>
      <c r="J6" t="s">
        <v>40</v>
      </c>
      <c r="K6" t="s">
        <v>65</v>
      </c>
      <c r="L6" t="s">
        <v>66</v>
      </c>
      <c r="M6" t="s">
        <v>43</v>
      </c>
      <c r="N6" t="s">
        <v>31</v>
      </c>
      <c r="O6">
        <v>5</v>
      </c>
      <c r="P6" t="s">
        <v>53</v>
      </c>
      <c r="Q6">
        <v>22</v>
      </c>
      <c r="R6">
        <v>58726</v>
      </c>
      <c r="S6">
        <v>2250000</v>
      </c>
      <c r="T6" s="3">
        <v>14691274</v>
      </c>
    </row>
    <row r="7" spans="1:20" x14ac:dyDescent="0.3">
      <c r="A7">
        <v>1006</v>
      </c>
      <c r="B7" t="s">
        <v>67</v>
      </c>
      <c r="C7" t="s">
        <v>34</v>
      </c>
      <c r="D7">
        <v>39</v>
      </c>
      <c r="E7" t="s">
        <v>68</v>
      </c>
      <c r="F7" t="s">
        <v>36</v>
      </c>
      <c r="G7" t="s">
        <v>69</v>
      </c>
      <c r="H7" t="s">
        <v>69</v>
      </c>
      <c r="I7" t="s">
        <v>39</v>
      </c>
      <c r="J7" t="s">
        <v>27</v>
      </c>
      <c r="K7" t="s">
        <v>70</v>
      </c>
      <c r="L7" t="s">
        <v>71</v>
      </c>
      <c r="M7" t="s">
        <v>51</v>
      </c>
      <c r="N7" t="s">
        <v>52</v>
      </c>
      <c r="O7">
        <v>4</v>
      </c>
      <c r="P7" t="s">
        <v>44</v>
      </c>
      <c r="Q7">
        <v>12</v>
      </c>
      <c r="R7">
        <v>231295</v>
      </c>
      <c r="S7">
        <v>846000</v>
      </c>
      <c r="T7" s="3">
        <v>5314705</v>
      </c>
    </row>
    <row r="8" spans="1:20" x14ac:dyDescent="0.3">
      <c r="A8">
        <v>1007</v>
      </c>
      <c r="B8" t="s">
        <v>72</v>
      </c>
      <c r="C8" t="s">
        <v>34</v>
      </c>
      <c r="D8">
        <v>33</v>
      </c>
      <c r="E8" t="s">
        <v>73</v>
      </c>
      <c r="F8" t="s">
        <v>55</v>
      </c>
      <c r="G8" t="s">
        <v>74</v>
      </c>
      <c r="H8" t="s">
        <v>75</v>
      </c>
      <c r="I8" t="s">
        <v>76</v>
      </c>
      <c r="J8" t="s">
        <v>27</v>
      </c>
      <c r="K8" t="s">
        <v>77</v>
      </c>
      <c r="L8" t="s">
        <v>59</v>
      </c>
      <c r="M8" t="s">
        <v>78</v>
      </c>
      <c r="N8" t="s">
        <v>52</v>
      </c>
      <c r="O8">
        <v>5</v>
      </c>
      <c r="P8" t="s">
        <v>44</v>
      </c>
      <c r="Q8">
        <v>6</v>
      </c>
      <c r="R8">
        <v>281298</v>
      </c>
      <c r="S8">
        <v>1224000</v>
      </c>
      <c r="T8" s="3">
        <v>7742702</v>
      </c>
    </row>
    <row r="9" spans="1:20" x14ac:dyDescent="0.3">
      <c r="A9">
        <v>1008</v>
      </c>
      <c r="B9" t="s">
        <v>79</v>
      </c>
      <c r="C9" t="s">
        <v>21</v>
      </c>
      <c r="D9">
        <v>50</v>
      </c>
      <c r="E9" t="s">
        <v>35</v>
      </c>
      <c r="F9" t="s">
        <v>55</v>
      </c>
      <c r="G9" t="s">
        <v>37</v>
      </c>
      <c r="H9" t="s">
        <v>38</v>
      </c>
      <c r="I9" t="s">
        <v>39</v>
      </c>
      <c r="J9" t="s">
        <v>27</v>
      </c>
      <c r="K9" t="s">
        <v>80</v>
      </c>
      <c r="L9" t="s">
        <v>42</v>
      </c>
      <c r="M9" t="s">
        <v>78</v>
      </c>
      <c r="N9" t="s">
        <v>31</v>
      </c>
      <c r="O9">
        <v>5</v>
      </c>
      <c r="P9" t="s">
        <v>53</v>
      </c>
      <c r="Q9">
        <v>23</v>
      </c>
      <c r="R9">
        <v>267390</v>
      </c>
      <c r="S9">
        <v>1764000</v>
      </c>
      <c r="T9" s="3">
        <v>11296610</v>
      </c>
    </row>
    <row r="10" spans="1:20" x14ac:dyDescent="0.3">
      <c r="A10">
        <v>1009</v>
      </c>
      <c r="B10" t="s">
        <v>81</v>
      </c>
      <c r="C10" t="s">
        <v>34</v>
      </c>
      <c r="D10">
        <v>54</v>
      </c>
      <c r="E10" t="s">
        <v>82</v>
      </c>
      <c r="F10" t="s">
        <v>23</v>
      </c>
      <c r="G10" t="s">
        <v>37</v>
      </c>
      <c r="H10" t="s">
        <v>38</v>
      </c>
      <c r="I10" t="s">
        <v>76</v>
      </c>
      <c r="J10" t="s">
        <v>27</v>
      </c>
      <c r="K10" t="s">
        <v>83</v>
      </c>
      <c r="L10" t="s">
        <v>29</v>
      </c>
      <c r="M10" t="s">
        <v>30</v>
      </c>
      <c r="N10" t="s">
        <v>52</v>
      </c>
      <c r="O10">
        <v>4</v>
      </c>
      <c r="P10" t="s">
        <v>32</v>
      </c>
      <c r="Q10">
        <v>16</v>
      </c>
      <c r="R10">
        <v>251721</v>
      </c>
      <c r="S10">
        <v>1098000</v>
      </c>
      <c r="T10" s="3">
        <v>6946279</v>
      </c>
    </row>
    <row r="11" spans="1:20" x14ac:dyDescent="0.3">
      <c r="A11">
        <v>1010</v>
      </c>
      <c r="B11" t="s">
        <v>60</v>
      </c>
      <c r="C11" t="s">
        <v>21</v>
      </c>
      <c r="D11">
        <v>56</v>
      </c>
      <c r="E11" t="s">
        <v>22</v>
      </c>
      <c r="F11" t="s">
        <v>23</v>
      </c>
      <c r="G11" t="s">
        <v>63</v>
      </c>
      <c r="H11" t="s">
        <v>64</v>
      </c>
      <c r="I11" t="s">
        <v>26</v>
      </c>
      <c r="J11" t="s">
        <v>27</v>
      </c>
      <c r="K11" t="s">
        <v>84</v>
      </c>
      <c r="L11" t="s">
        <v>42</v>
      </c>
      <c r="M11" t="s">
        <v>78</v>
      </c>
      <c r="N11" t="s">
        <v>31</v>
      </c>
      <c r="O11">
        <v>3</v>
      </c>
      <c r="P11" t="s">
        <v>32</v>
      </c>
      <c r="Q11">
        <v>18</v>
      </c>
      <c r="R11">
        <v>235444</v>
      </c>
      <c r="S11">
        <v>756000</v>
      </c>
      <c r="T11" s="3">
        <v>4720556</v>
      </c>
    </row>
    <row r="12" spans="1:20" x14ac:dyDescent="0.3">
      <c r="A12">
        <v>1011</v>
      </c>
      <c r="B12" t="s">
        <v>81</v>
      </c>
      <c r="C12" t="s">
        <v>21</v>
      </c>
      <c r="D12">
        <v>51</v>
      </c>
      <c r="E12" t="s">
        <v>61</v>
      </c>
      <c r="F12" t="s">
        <v>55</v>
      </c>
      <c r="G12" t="s">
        <v>74</v>
      </c>
      <c r="H12" t="s">
        <v>75</v>
      </c>
      <c r="I12" t="s">
        <v>48</v>
      </c>
      <c r="J12" t="s">
        <v>40</v>
      </c>
      <c r="K12" t="s">
        <v>85</v>
      </c>
      <c r="L12" t="s">
        <v>42</v>
      </c>
      <c r="M12" t="s">
        <v>51</v>
      </c>
      <c r="N12" t="s">
        <v>31</v>
      </c>
      <c r="O12">
        <v>4</v>
      </c>
      <c r="P12" t="s">
        <v>86</v>
      </c>
      <c r="Q12">
        <v>19</v>
      </c>
      <c r="R12">
        <v>164128</v>
      </c>
      <c r="S12">
        <v>2250000</v>
      </c>
      <c r="T12" s="3">
        <v>14585872</v>
      </c>
    </row>
    <row r="13" spans="1:20" x14ac:dyDescent="0.3">
      <c r="A13">
        <v>1012</v>
      </c>
      <c r="B13" t="s">
        <v>81</v>
      </c>
      <c r="C13" t="s">
        <v>34</v>
      </c>
      <c r="D13">
        <v>45</v>
      </c>
      <c r="E13" t="s">
        <v>46</v>
      </c>
      <c r="F13" t="s">
        <v>62</v>
      </c>
      <c r="G13" t="s">
        <v>56</v>
      </c>
      <c r="H13" t="s">
        <v>57</v>
      </c>
      <c r="I13" t="s">
        <v>76</v>
      </c>
      <c r="J13" t="s">
        <v>87</v>
      </c>
      <c r="K13" t="s">
        <v>88</v>
      </c>
      <c r="L13" t="s">
        <v>29</v>
      </c>
      <c r="M13" t="s">
        <v>78</v>
      </c>
      <c r="N13" t="s">
        <v>52</v>
      </c>
      <c r="O13">
        <v>3</v>
      </c>
      <c r="P13" t="s">
        <v>32</v>
      </c>
      <c r="Q13">
        <v>25</v>
      </c>
      <c r="R13">
        <v>105039</v>
      </c>
      <c r="S13">
        <v>5760000</v>
      </c>
      <c r="T13" s="3">
        <v>37654961</v>
      </c>
    </row>
    <row r="14" spans="1:20" x14ac:dyDescent="0.3">
      <c r="A14">
        <v>1013</v>
      </c>
      <c r="B14" t="s">
        <v>67</v>
      </c>
      <c r="C14" t="s">
        <v>34</v>
      </c>
      <c r="D14">
        <v>37</v>
      </c>
      <c r="E14" t="s">
        <v>61</v>
      </c>
      <c r="F14" t="s">
        <v>23</v>
      </c>
      <c r="G14" t="s">
        <v>37</v>
      </c>
      <c r="H14" t="s">
        <v>38</v>
      </c>
      <c r="I14" t="s">
        <v>39</v>
      </c>
      <c r="J14" t="s">
        <v>40</v>
      </c>
      <c r="K14" t="s">
        <v>89</v>
      </c>
      <c r="L14" t="s">
        <v>59</v>
      </c>
      <c r="M14" t="s">
        <v>78</v>
      </c>
      <c r="N14" t="s">
        <v>52</v>
      </c>
      <c r="O14">
        <v>5</v>
      </c>
      <c r="P14" t="s">
        <v>86</v>
      </c>
      <c r="Q14">
        <v>16</v>
      </c>
      <c r="R14">
        <v>242961</v>
      </c>
      <c r="S14">
        <v>2250000</v>
      </c>
      <c r="T14" s="3">
        <v>14507039</v>
      </c>
    </row>
    <row r="15" spans="1:20" x14ac:dyDescent="0.3">
      <c r="A15">
        <v>1014</v>
      </c>
      <c r="B15" t="s">
        <v>54</v>
      </c>
      <c r="C15" t="s">
        <v>34</v>
      </c>
      <c r="D15">
        <v>53</v>
      </c>
      <c r="E15" t="s">
        <v>90</v>
      </c>
      <c r="F15" t="s">
        <v>36</v>
      </c>
      <c r="G15" t="s">
        <v>91</v>
      </c>
      <c r="H15" t="s">
        <v>25</v>
      </c>
      <c r="I15" t="s">
        <v>26</v>
      </c>
      <c r="J15" t="s">
        <v>87</v>
      </c>
      <c r="K15" t="s">
        <v>92</v>
      </c>
      <c r="L15" t="s">
        <v>42</v>
      </c>
      <c r="M15" t="s">
        <v>51</v>
      </c>
      <c r="N15" t="s">
        <v>31</v>
      </c>
      <c r="O15">
        <v>3</v>
      </c>
      <c r="P15" t="s">
        <v>32</v>
      </c>
      <c r="Q15">
        <v>5</v>
      </c>
      <c r="R15">
        <v>89961</v>
      </c>
      <c r="S15">
        <v>702000</v>
      </c>
      <c r="T15" s="3">
        <v>4512039</v>
      </c>
    </row>
    <row r="16" spans="1:20" x14ac:dyDescent="0.3">
      <c r="A16">
        <v>1015</v>
      </c>
      <c r="B16" t="s">
        <v>79</v>
      </c>
      <c r="C16" t="s">
        <v>34</v>
      </c>
      <c r="D16">
        <v>46</v>
      </c>
      <c r="E16" t="s">
        <v>82</v>
      </c>
      <c r="F16" t="s">
        <v>55</v>
      </c>
      <c r="G16" t="s">
        <v>37</v>
      </c>
      <c r="H16" t="s">
        <v>38</v>
      </c>
      <c r="I16" t="s">
        <v>48</v>
      </c>
      <c r="J16" t="s">
        <v>40</v>
      </c>
      <c r="K16" t="s">
        <v>84</v>
      </c>
      <c r="L16" t="s">
        <v>66</v>
      </c>
      <c r="M16" t="s">
        <v>51</v>
      </c>
      <c r="N16" t="s">
        <v>52</v>
      </c>
      <c r="O16">
        <v>3</v>
      </c>
      <c r="P16" t="s">
        <v>53</v>
      </c>
      <c r="Q16">
        <v>13</v>
      </c>
      <c r="R16">
        <v>107476</v>
      </c>
      <c r="S16">
        <v>1098000</v>
      </c>
      <c r="T16" s="3">
        <v>7090524</v>
      </c>
    </row>
    <row r="17" spans="1:20" x14ac:dyDescent="0.3">
      <c r="A17">
        <v>1016</v>
      </c>
      <c r="B17" t="s">
        <v>60</v>
      </c>
      <c r="C17" t="s">
        <v>34</v>
      </c>
      <c r="D17">
        <v>44</v>
      </c>
      <c r="E17" t="s">
        <v>22</v>
      </c>
      <c r="F17" t="s">
        <v>55</v>
      </c>
      <c r="G17" t="s">
        <v>74</v>
      </c>
      <c r="H17" t="s">
        <v>75</v>
      </c>
      <c r="I17" t="s">
        <v>26</v>
      </c>
      <c r="J17" t="s">
        <v>49</v>
      </c>
      <c r="K17" t="s">
        <v>93</v>
      </c>
      <c r="L17" t="s">
        <v>42</v>
      </c>
      <c r="M17" t="s">
        <v>94</v>
      </c>
      <c r="N17" t="s">
        <v>52</v>
      </c>
      <c r="O17">
        <v>3</v>
      </c>
      <c r="P17" t="s">
        <v>86</v>
      </c>
      <c r="Q17">
        <v>16</v>
      </c>
      <c r="R17">
        <v>100257</v>
      </c>
      <c r="S17">
        <v>756000</v>
      </c>
      <c r="T17" s="3">
        <v>4855743</v>
      </c>
    </row>
    <row r="18" spans="1:20" x14ac:dyDescent="0.3">
      <c r="A18">
        <v>1017</v>
      </c>
      <c r="B18" t="s">
        <v>95</v>
      </c>
      <c r="C18" t="s">
        <v>21</v>
      </c>
      <c r="D18">
        <v>42</v>
      </c>
      <c r="E18" t="s">
        <v>82</v>
      </c>
      <c r="F18" t="s">
        <v>62</v>
      </c>
      <c r="G18" t="s">
        <v>69</v>
      </c>
      <c r="H18" t="s">
        <v>69</v>
      </c>
      <c r="I18" t="s">
        <v>48</v>
      </c>
      <c r="J18" t="s">
        <v>27</v>
      </c>
      <c r="K18" t="s">
        <v>96</v>
      </c>
      <c r="L18" t="s">
        <v>66</v>
      </c>
      <c r="M18" t="s">
        <v>30</v>
      </c>
      <c r="N18" t="s">
        <v>31</v>
      </c>
      <c r="O18">
        <v>2</v>
      </c>
      <c r="P18" t="s">
        <v>53</v>
      </c>
      <c r="Q18">
        <v>18</v>
      </c>
      <c r="R18">
        <v>88063</v>
      </c>
      <c r="S18">
        <v>1098000</v>
      </c>
      <c r="T18" s="3">
        <v>7109937</v>
      </c>
    </row>
    <row r="19" spans="1:20" x14ac:dyDescent="0.3">
      <c r="A19">
        <v>1018</v>
      </c>
      <c r="B19" t="s">
        <v>45</v>
      </c>
      <c r="C19" t="s">
        <v>34</v>
      </c>
      <c r="D19">
        <v>27</v>
      </c>
      <c r="E19" t="s">
        <v>90</v>
      </c>
      <c r="F19" t="s">
        <v>62</v>
      </c>
      <c r="G19" t="s">
        <v>69</v>
      </c>
      <c r="H19" t="s">
        <v>69</v>
      </c>
      <c r="I19" t="s">
        <v>97</v>
      </c>
      <c r="J19" t="s">
        <v>27</v>
      </c>
      <c r="K19" t="s">
        <v>98</v>
      </c>
      <c r="L19" t="s">
        <v>71</v>
      </c>
      <c r="M19" t="s">
        <v>94</v>
      </c>
      <c r="N19" t="s">
        <v>31</v>
      </c>
      <c r="O19">
        <v>5</v>
      </c>
      <c r="P19" t="s">
        <v>44</v>
      </c>
      <c r="Q19">
        <v>15</v>
      </c>
      <c r="R19">
        <v>68462</v>
      </c>
      <c r="S19">
        <v>702000</v>
      </c>
      <c r="T19" s="3">
        <v>4533538</v>
      </c>
    </row>
    <row r="20" spans="1:20" x14ac:dyDescent="0.3">
      <c r="A20">
        <v>1019</v>
      </c>
      <c r="B20" t="s">
        <v>99</v>
      </c>
      <c r="C20" t="s">
        <v>34</v>
      </c>
      <c r="D20">
        <v>53</v>
      </c>
      <c r="E20" t="s">
        <v>61</v>
      </c>
      <c r="F20" t="s">
        <v>62</v>
      </c>
      <c r="G20" t="s">
        <v>24</v>
      </c>
      <c r="H20" t="s">
        <v>25</v>
      </c>
      <c r="I20" t="s">
        <v>39</v>
      </c>
      <c r="J20" t="s">
        <v>27</v>
      </c>
      <c r="K20" t="s">
        <v>100</v>
      </c>
      <c r="L20" t="s">
        <v>29</v>
      </c>
      <c r="M20" t="s">
        <v>43</v>
      </c>
      <c r="N20" t="s">
        <v>31</v>
      </c>
      <c r="O20">
        <v>2</v>
      </c>
      <c r="P20" t="s">
        <v>86</v>
      </c>
      <c r="Q20">
        <v>15</v>
      </c>
      <c r="R20">
        <v>157232</v>
      </c>
      <c r="S20">
        <v>2250000</v>
      </c>
      <c r="T20" s="3">
        <v>14592768</v>
      </c>
    </row>
    <row r="21" spans="1:20" x14ac:dyDescent="0.3">
      <c r="A21">
        <v>1020</v>
      </c>
      <c r="B21" t="s">
        <v>101</v>
      </c>
      <c r="C21" t="s">
        <v>34</v>
      </c>
      <c r="D21">
        <v>36</v>
      </c>
      <c r="E21" t="s">
        <v>35</v>
      </c>
      <c r="F21" t="s">
        <v>62</v>
      </c>
      <c r="G21" t="s">
        <v>63</v>
      </c>
      <c r="H21" t="s">
        <v>64</v>
      </c>
      <c r="I21" t="s">
        <v>48</v>
      </c>
      <c r="J21" t="s">
        <v>87</v>
      </c>
      <c r="K21" t="s">
        <v>102</v>
      </c>
      <c r="L21" t="s">
        <v>42</v>
      </c>
      <c r="M21" t="s">
        <v>94</v>
      </c>
      <c r="N21" t="s">
        <v>52</v>
      </c>
      <c r="O21">
        <v>5</v>
      </c>
      <c r="P21" t="s">
        <v>44</v>
      </c>
      <c r="Q21">
        <v>8</v>
      </c>
      <c r="R21">
        <v>288545</v>
      </c>
      <c r="S21">
        <v>1764000</v>
      </c>
      <c r="T21" s="3">
        <v>11275455</v>
      </c>
    </row>
    <row r="22" spans="1:20" x14ac:dyDescent="0.3">
      <c r="A22">
        <v>1021</v>
      </c>
      <c r="B22" t="s">
        <v>72</v>
      </c>
      <c r="C22" t="s">
        <v>34</v>
      </c>
      <c r="D22">
        <v>42</v>
      </c>
      <c r="E22" t="s">
        <v>22</v>
      </c>
      <c r="F22" t="s">
        <v>23</v>
      </c>
      <c r="G22" t="s">
        <v>63</v>
      </c>
      <c r="H22" t="s">
        <v>64</v>
      </c>
      <c r="I22" t="s">
        <v>48</v>
      </c>
      <c r="J22" t="s">
        <v>49</v>
      </c>
      <c r="K22" t="s">
        <v>103</v>
      </c>
      <c r="L22" t="s">
        <v>59</v>
      </c>
      <c r="M22" t="s">
        <v>43</v>
      </c>
      <c r="N22" t="s">
        <v>52</v>
      </c>
      <c r="O22">
        <v>3</v>
      </c>
      <c r="P22" t="s">
        <v>53</v>
      </c>
      <c r="Q22">
        <v>20</v>
      </c>
      <c r="R22">
        <v>141395</v>
      </c>
      <c r="S22">
        <v>756000</v>
      </c>
      <c r="T22" s="3">
        <v>4814605</v>
      </c>
    </row>
    <row r="23" spans="1:20" x14ac:dyDescent="0.3">
      <c r="A23">
        <v>1022</v>
      </c>
      <c r="B23" t="s">
        <v>104</v>
      </c>
      <c r="C23" t="s">
        <v>21</v>
      </c>
      <c r="D23">
        <v>51</v>
      </c>
      <c r="E23" t="s">
        <v>46</v>
      </c>
      <c r="F23" t="s">
        <v>36</v>
      </c>
      <c r="G23" t="s">
        <v>105</v>
      </c>
      <c r="H23" t="s">
        <v>106</v>
      </c>
      <c r="I23" t="s">
        <v>39</v>
      </c>
      <c r="J23" t="s">
        <v>40</v>
      </c>
      <c r="K23" t="s">
        <v>107</v>
      </c>
      <c r="L23" t="s">
        <v>59</v>
      </c>
      <c r="M23" t="s">
        <v>78</v>
      </c>
      <c r="N23" t="s">
        <v>31</v>
      </c>
      <c r="O23">
        <v>3</v>
      </c>
      <c r="P23" t="s">
        <v>53</v>
      </c>
      <c r="Q23">
        <v>9</v>
      </c>
      <c r="R23">
        <v>114057</v>
      </c>
      <c r="S23">
        <v>5760000</v>
      </c>
      <c r="T23" s="3">
        <v>37645943</v>
      </c>
    </row>
    <row r="24" spans="1:20" x14ac:dyDescent="0.3">
      <c r="A24">
        <v>1023</v>
      </c>
      <c r="B24" t="s">
        <v>108</v>
      </c>
      <c r="C24" t="s">
        <v>34</v>
      </c>
      <c r="D24">
        <v>47</v>
      </c>
      <c r="E24" t="s">
        <v>46</v>
      </c>
      <c r="F24" t="s">
        <v>23</v>
      </c>
      <c r="G24" t="s">
        <v>47</v>
      </c>
      <c r="H24" t="s">
        <v>25</v>
      </c>
      <c r="I24" t="s">
        <v>48</v>
      </c>
      <c r="J24" t="s">
        <v>27</v>
      </c>
      <c r="K24" t="s">
        <v>109</v>
      </c>
      <c r="L24" t="s">
        <v>66</v>
      </c>
      <c r="M24" t="s">
        <v>94</v>
      </c>
      <c r="N24" t="s">
        <v>31</v>
      </c>
      <c r="O24">
        <v>3</v>
      </c>
      <c r="P24" t="s">
        <v>53</v>
      </c>
      <c r="Q24">
        <v>14</v>
      </c>
      <c r="R24">
        <v>271605</v>
      </c>
      <c r="S24">
        <v>5760000</v>
      </c>
      <c r="T24" s="3">
        <v>37488395</v>
      </c>
    </row>
    <row r="25" spans="1:20" x14ac:dyDescent="0.3">
      <c r="A25">
        <v>1024</v>
      </c>
      <c r="B25" t="s">
        <v>54</v>
      </c>
      <c r="C25" t="s">
        <v>34</v>
      </c>
      <c r="D25">
        <v>27</v>
      </c>
      <c r="E25" t="s">
        <v>82</v>
      </c>
      <c r="F25" t="s">
        <v>23</v>
      </c>
      <c r="G25" t="s">
        <v>63</v>
      </c>
      <c r="H25" t="s">
        <v>64</v>
      </c>
      <c r="I25" t="s">
        <v>97</v>
      </c>
      <c r="J25" t="s">
        <v>27</v>
      </c>
      <c r="K25" t="s">
        <v>110</v>
      </c>
      <c r="L25" t="s">
        <v>71</v>
      </c>
      <c r="M25" t="s">
        <v>43</v>
      </c>
      <c r="N25" t="s">
        <v>31</v>
      </c>
      <c r="O25">
        <v>2</v>
      </c>
      <c r="P25" t="s">
        <v>53</v>
      </c>
      <c r="Q25">
        <v>24</v>
      </c>
      <c r="R25">
        <v>112956</v>
      </c>
      <c r="S25">
        <v>1098000</v>
      </c>
      <c r="T25" s="3">
        <v>7085044</v>
      </c>
    </row>
    <row r="26" spans="1:20" x14ac:dyDescent="0.3">
      <c r="A26">
        <v>1025</v>
      </c>
      <c r="B26" t="s">
        <v>33</v>
      </c>
      <c r="C26" t="s">
        <v>34</v>
      </c>
      <c r="D26">
        <v>30</v>
      </c>
      <c r="E26" t="s">
        <v>46</v>
      </c>
      <c r="F26" t="s">
        <v>36</v>
      </c>
      <c r="G26" t="s">
        <v>105</v>
      </c>
      <c r="H26" t="s">
        <v>106</v>
      </c>
      <c r="I26" t="s">
        <v>76</v>
      </c>
      <c r="J26" t="s">
        <v>49</v>
      </c>
      <c r="K26" t="s">
        <v>111</v>
      </c>
      <c r="L26" t="s">
        <v>66</v>
      </c>
      <c r="M26" t="s">
        <v>78</v>
      </c>
      <c r="N26" t="s">
        <v>52</v>
      </c>
      <c r="O26">
        <v>4</v>
      </c>
      <c r="P26" t="s">
        <v>44</v>
      </c>
      <c r="Q26">
        <v>7</v>
      </c>
      <c r="R26">
        <v>81891</v>
      </c>
      <c r="S26">
        <v>5760000</v>
      </c>
      <c r="T26" s="3">
        <v>37678109</v>
      </c>
    </row>
    <row r="27" spans="1:20" x14ac:dyDescent="0.3">
      <c r="A27">
        <v>1026</v>
      </c>
      <c r="B27" t="s">
        <v>95</v>
      </c>
      <c r="C27" t="s">
        <v>34</v>
      </c>
      <c r="D27">
        <v>50</v>
      </c>
      <c r="E27" t="s">
        <v>112</v>
      </c>
      <c r="F27" t="s">
        <v>55</v>
      </c>
      <c r="G27" t="s">
        <v>56</v>
      </c>
      <c r="H27" t="s">
        <v>57</v>
      </c>
      <c r="I27" t="s">
        <v>39</v>
      </c>
      <c r="J27" t="s">
        <v>40</v>
      </c>
      <c r="K27" t="s">
        <v>113</v>
      </c>
      <c r="L27" t="s">
        <v>29</v>
      </c>
      <c r="M27" t="s">
        <v>51</v>
      </c>
      <c r="N27" t="s">
        <v>31</v>
      </c>
      <c r="O27">
        <v>3</v>
      </c>
      <c r="P27" t="s">
        <v>53</v>
      </c>
      <c r="Q27">
        <v>15</v>
      </c>
      <c r="R27">
        <v>276004</v>
      </c>
      <c r="S27">
        <v>936000</v>
      </c>
      <c r="T27" s="3">
        <v>5859996</v>
      </c>
    </row>
    <row r="28" spans="1:20" x14ac:dyDescent="0.3">
      <c r="A28">
        <v>1027</v>
      </c>
      <c r="B28" t="s">
        <v>54</v>
      </c>
      <c r="C28" t="s">
        <v>21</v>
      </c>
      <c r="D28">
        <v>29</v>
      </c>
      <c r="E28" t="s">
        <v>35</v>
      </c>
      <c r="F28" t="s">
        <v>36</v>
      </c>
      <c r="G28" t="s">
        <v>63</v>
      </c>
      <c r="H28" t="s">
        <v>64</v>
      </c>
      <c r="I28" t="s">
        <v>48</v>
      </c>
      <c r="J28" t="s">
        <v>27</v>
      </c>
      <c r="K28" t="s">
        <v>70</v>
      </c>
      <c r="L28" t="s">
        <v>71</v>
      </c>
      <c r="M28" t="s">
        <v>51</v>
      </c>
      <c r="N28" t="s">
        <v>31</v>
      </c>
      <c r="O28">
        <v>3</v>
      </c>
      <c r="P28" t="s">
        <v>44</v>
      </c>
      <c r="Q28">
        <v>24</v>
      </c>
      <c r="R28">
        <v>222134</v>
      </c>
      <c r="S28">
        <v>1764000</v>
      </c>
      <c r="T28" s="3">
        <v>11341866</v>
      </c>
    </row>
    <row r="29" spans="1:20" x14ac:dyDescent="0.3">
      <c r="A29">
        <v>1028</v>
      </c>
      <c r="B29" t="s">
        <v>114</v>
      </c>
      <c r="C29" t="s">
        <v>34</v>
      </c>
      <c r="D29">
        <v>50</v>
      </c>
      <c r="E29" t="s">
        <v>22</v>
      </c>
      <c r="F29" t="s">
        <v>62</v>
      </c>
      <c r="G29" t="s">
        <v>115</v>
      </c>
      <c r="H29" t="s">
        <v>106</v>
      </c>
      <c r="I29" t="s">
        <v>26</v>
      </c>
      <c r="J29" t="s">
        <v>40</v>
      </c>
      <c r="K29" t="s">
        <v>116</v>
      </c>
      <c r="L29" t="s">
        <v>29</v>
      </c>
      <c r="M29" t="s">
        <v>51</v>
      </c>
      <c r="N29" t="s">
        <v>31</v>
      </c>
      <c r="O29">
        <v>2</v>
      </c>
      <c r="P29" t="s">
        <v>44</v>
      </c>
      <c r="Q29">
        <v>15</v>
      </c>
      <c r="R29">
        <v>106965</v>
      </c>
      <c r="S29">
        <v>756000</v>
      </c>
      <c r="T29" s="3">
        <v>4849035</v>
      </c>
    </row>
    <row r="30" spans="1:20" x14ac:dyDescent="0.3">
      <c r="A30">
        <v>1029</v>
      </c>
      <c r="B30" t="s">
        <v>114</v>
      </c>
      <c r="C30" t="s">
        <v>21</v>
      </c>
      <c r="D30">
        <v>41</v>
      </c>
      <c r="E30" t="s">
        <v>73</v>
      </c>
      <c r="F30" t="s">
        <v>55</v>
      </c>
      <c r="G30" t="s">
        <v>56</v>
      </c>
      <c r="H30" t="s">
        <v>57</v>
      </c>
      <c r="I30" t="s">
        <v>26</v>
      </c>
      <c r="J30" t="s">
        <v>87</v>
      </c>
      <c r="K30" t="s">
        <v>117</v>
      </c>
      <c r="L30" t="s">
        <v>29</v>
      </c>
      <c r="M30" t="s">
        <v>30</v>
      </c>
      <c r="N30" t="s">
        <v>52</v>
      </c>
      <c r="O30">
        <v>2</v>
      </c>
      <c r="P30" t="s">
        <v>44</v>
      </c>
      <c r="Q30">
        <v>14</v>
      </c>
      <c r="R30">
        <v>175863</v>
      </c>
      <c r="S30">
        <v>1224000</v>
      </c>
      <c r="T30" s="3">
        <v>7848137</v>
      </c>
    </row>
    <row r="31" spans="1:20" x14ac:dyDescent="0.3">
      <c r="A31">
        <v>1030</v>
      </c>
      <c r="B31" t="s">
        <v>81</v>
      </c>
      <c r="C31" t="s">
        <v>21</v>
      </c>
      <c r="D31">
        <v>55</v>
      </c>
      <c r="E31" t="s">
        <v>118</v>
      </c>
      <c r="F31" t="s">
        <v>62</v>
      </c>
      <c r="G31" t="s">
        <v>91</v>
      </c>
      <c r="H31" t="s">
        <v>25</v>
      </c>
      <c r="I31" t="s">
        <v>26</v>
      </c>
      <c r="J31" t="s">
        <v>87</v>
      </c>
      <c r="K31" t="s">
        <v>119</v>
      </c>
      <c r="L31" t="s">
        <v>59</v>
      </c>
      <c r="M31" t="s">
        <v>78</v>
      </c>
      <c r="N31" t="s">
        <v>31</v>
      </c>
      <c r="O31">
        <v>5</v>
      </c>
      <c r="P31" t="s">
        <v>86</v>
      </c>
      <c r="Q31">
        <v>25</v>
      </c>
      <c r="R31">
        <v>230808</v>
      </c>
      <c r="S31">
        <v>1350000</v>
      </c>
      <c r="T31" s="3">
        <v>8619192</v>
      </c>
    </row>
    <row r="32" spans="1:20" x14ac:dyDescent="0.3">
      <c r="A32">
        <v>1031</v>
      </c>
      <c r="B32" t="s">
        <v>114</v>
      </c>
      <c r="C32" t="s">
        <v>34</v>
      </c>
      <c r="D32">
        <v>36</v>
      </c>
      <c r="E32" t="s">
        <v>61</v>
      </c>
      <c r="F32" t="s">
        <v>55</v>
      </c>
      <c r="G32" t="s">
        <v>74</v>
      </c>
      <c r="H32" t="s">
        <v>75</v>
      </c>
      <c r="I32" t="s">
        <v>26</v>
      </c>
      <c r="J32" t="s">
        <v>49</v>
      </c>
      <c r="K32" t="s">
        <v>120</v>
      </c>
      <c r="L32" t="s">
        <v>59</v>
      </c>
      <c r="M32" t="s">
        <v>43</v>
      </c>
      <c r="N32" t="s">
        <v>31</v>
      </c>
      <c r="O32">
        <v>3</v>
      </c>
      <c r="P32" t="s">
        <v>32</v>
      </c>
      <c r="Q32">
        <v>6</v>
      </c>
      <c r="R32">
        <v>139232</v>
      </c>
      <c r="S32">
        <v>2250000</v>
      </c>
      <c r="T32" s="3">
        <v>14610768</v>
      </c>
    </row>
    <row r="33" spans="1:20" x14ac:dyDescent="0.3">
      <c r="A33">
        <v>1032</v>
      </c>
      <c r="B33" t="s">
        <v>81</v>
      </c>
      <c r="C33" t="s">
        <v>34</v>
      </c>
      <c r="D33">
        <v>55</v>
      </c>
      <c r="E33" t="s">
        <v>90</v>
      </c>
      <c r="F33" t="s">
        <v>23</v>
      </c>
      <c r="G33" t="s">
        <v>69</v>
      </c>
      <c r="H33" t="s">
        <v>69</v>
      </c>
      <c r="I33" t="s">
        <v>39</v>
      </c>
      <c r="J33" t="s">
        <v>40</v>
      </c>
      <c r="K33" t="s">
        <v>121</v>
      </c>
      <c r="L33" t="s">
        <v>71</v>
      </c>
      <c r="M33" t="s">
        <v>51</v>
      </c>
      <c r="N33" t="s">
        <v>31</v>
      </c>
      <c r="O33">
        <v>5</v>
      </c>
      <c r="P33" t="s">
        <v>44</v>
      </c>
      <c r="Q33">
        <v>11</v>
      </c>
      <c r="R33">
        <v>137388</v>
      </c>
      <c r="S33">
        <v>702000</v>
      </c>
      <c r="T33" s="3">
        <v>4464612</v>
      </c>
    </row>
    <row r="34" spans="1:20" x14ac:dyDescent="0.3">
      <c r="A34">
        <v>1033</v>
      </c>
      <c r="B34" t="s">
        <v>45</v>
      </c>
      <c r="C34" t="s">
        <v>21</v>
      </c>
      <c r="D34">
        <v>32</v>
      </c>
      <c r="E34" t="s">
        <v>82</v>
      </c>
      <c r="F34" t="s">
        <v>62</v>
      </c>
      <c r="G34" t="s">
        <v>56</v>
      </c>
      <c r="H34" t="s">
        <v>57</v>
      </c>
      <c r="I34" t="s">
        <v>39</v>
      </c>
      <c r="J34" t="s">
        <v>27</v>
      </c>
      <c r="K34" t="s">
        <v>122</v>
      </c>
      <c r="L34" t="s">
        <v>29</v>
      </c>
      <c r="M34" t="s">
        <v>51</v>
      </c>
      <c r="N34" t="s">
        <v>31</v>
      </c>
      <c r="O34">
        <v>2</v>
      </c>
      <c r="P34" t="s">
        <v>32</v>
      </c>
      <c r="Q34">
        <v>5</v>
      </c>
      <c r="R34">
        <v>224132</v>
      </c>
      <c r="S34">
        <v>1098000</v>
      </c>
      <c r="T34" s="3">
        <v>6973868</v>
      </c>
    </row>
    <row r="35" spans="1:20" x14ac:dyDescent="0.3">
      <c r="A35">
        <v>1034</v>
      </c>
      <c r="B35" t="s">
        <v>20</v>
      </c>
      <c r="C35" t="s">
        <v>34</v>
      </c>
      <c r="D35">
        <v>60</v>
      </c>
      <c r="E35" t="s">
        <v>73</v>
      </c>
      <c r="F35" t="s">
        <v>36</v>
      </c>
      <c r="G35" t="s">
        <v>105</v>
      </c>
      <c r="H35" t="s">
        <v>106</v>
      </c>
      <c r="I35" t="s">
        <v>97</v>
      </c>
      <c r="J35" t="s">
        <v>87</v>
      </c>
      <c r="K35" t="s">
        <v>123</v>
      </c>
      <c r="L35" t="s">
        <v>29</v>
      </c>
      <c r="M35" t="s">
        <v>94</v>
      </c>
      <c r="N35" t="s">
        <v>31</v>
      </c>
      <c r="O35">
        <v>3</v>
      </c>
      <c r="P35" t="s">
        <v>44</v>
      </c>
      <c r="Q35">
        <v>12</v>
      </c>
      <c r="R35">
        <v>180119</v>
      </c>
      <c r="S35">
        <v>1224000</v>
      </c>
      <c r="T35" s="3">
        <v>7843881</v>
      </c>
    </row>
    <row r="36" spans="1:20" x14ac:dyDescent="0.3">
      <c r="A36">
        <v>1035</v>
      </c>
      <c r="B36" t="s">
        <v>108</v>
      </c>
      <c r="C36" t="s">
        <v>21</v>
      </c>
      <c r="D36">
        <v>44</v>
      </c>
      <c r="E36" t="s">
        <v>68</v>
      </c>
      <c r="F36" t="s">
        <v>23</v>
      </c>
      <c r="G36" t="s">
        <v>115</v>
      </c>
      <c r="H36" t="s">
        <v>106</v>
      </c>
      <c r="I36" t="s">
        <v>97</v>
      </c>
      <c r="J36" t="s">
        <v>49</v>
      </c>
      <c r="K36" t="s">
        <v>124</v>
      </c>
      <c r="L36" t="s">
        <v>66</v>
      </c>
      <c r="M36" t="s">
        <v>30</v>
      </c>
      <c r="N36" t="s">
        <v>52</v>
      </c>
      <c r="O36">
        <v>5</v>
      </c>
      <c r="P36" t="s">
        <v>53</v>
      </c>
      <c r="Q36">
        <v>22</v>
      </c>
      <c r="R36">
        <v>279171</v>
      </c>
      <c r="S36">
        <v>846000</v>
      </c>
      <c r="T36" s="3">
        <v>5266829</v>
      </c>
    </row>
    <row r="37" spans="1:20" x14ac:dyDescent="0.3">
      <c r="A37">
        <v>1036</v>
      </c>
      <c r="B37" t="s">
        <v>20</v>
      </c>
      <c r="C37" t="s">
        <v>21</v>
      </c>
      <c r="D37">
        <v>49</v>
      </c>
      <c r="E37" t="s">
        <v>68</v>
      </c>
      <c r="F37" t="s">
        <v>23</v>
      </c>
      <c r="G37" t="s">
        <v>91</v>
      </c>
      <c r="H37" t="s">
        <v>25</v>
      </c>
      <c r="I37" t="s">
        <v>76</v>
      </c>
      <c r="J37" t="s">
        <v>40</v>
      </c>
      <c r="K37" t="s">
        <v>125</v>
      </c>
      <c r="L37" t="s">
        <v>29</v>
      </c>
      <c r="M37" t="s">
        <v>78</v>
      </c>
      <c r="N37" t="s">
        <v>31</v>
      </c>
      <c r="O37">
        <v>3</v>
      </c>
      <c r="P37" t="s">
        <v>44</v>
      </c>
      <c r="Q37">
        <v>18</v>
      </c>
      <c r="R37">
        <v>140891</v>
      </c>
      <c r="S37">
        <v>846000</v>
      </c>
      <c r="T37" s="3">
        <v>5405109</v>
      </c>
    </row>
    <row r="38" spans="1:20" x14ac:dyDescent="0.3">
      <c r="A38">
        <v>1037</v>
      </c>
      <c r="B38" t="s">
        <v>45</v>
      </c>
      <c r="C38" t="s">
        <v>34</v>
      </c>
      <c r="D38">
        <v>32</v>
      </c>
      <c r="E38" t="s">
        <v>46</v>
      </c>
      <c r="F38" t="s">
        <v>55</v>
      </c>
      <c r="G38" t="s">
        <v>37</v>
      </c>
      <c r="H38" t="s">
        <v>38</v>
      </c>
      <c r="I38" t="s">
        <v>39</v>
      </c>
      <c r="J38" t="s">
        <v>40</v>
      </c>
      <c r="K38" t="s">
        <v>126</v>
      </c>
      <c r="L38" t="s">
        <v>29</v>
      </c>
      <c r="M38" t="s">
        <v>43</v>
      </c>
      <c r="N38" t="s">
        <v>31</v>
      </c>
      <c r="O38">
        <v>3</v>
      </c>
      <c r="P38" t="s">
        <v>44</v>
      </c>
      <c r="Q38">
        <v>18</v>
      </c>
      <c r="R38">
        <v>194311</v>
      </c>
      <c r="S38">
        <v>5760000</v>
      </c>
      <c r="T38" s="3">
        <v>37565689</v>
      </c>
    </row>
    <row r="39" spans="1:20" x14ac:dyDescent="0.3">
      <c r="A39">
        <v>1038</v>
      </c>
      <c r="B39" t="s">
        <v>67</v>
      </c>
      <c r="C39" t="s">
        <v>21</v>
      </c>
      <c r="D39">
        <v>31</v>
      </c>
      <c r="E39" t="s">
        <v>46</v>
      </c>
      <c r="F39" t="s">
        <v>62</v>
      </c>
      <c r="G39" t="s">
        <v>105</v>
      </c>
      <c r="H39" t="s">
        <v>106</v>
      </c>
      <c r="I39" t="s">
        <v>97</v>
      </c>
      <c r="J39" t="s">
        <v>40</v>
      </c>
      <c r="K39" t="s">
        <v>127</v>
      </c>
      <c r="L39" t="s">
        <v>29</v>
      </c>
      <c r="M39" t="s">
        <v>43</v>
      </c>
      <c r="N39" t="s">
        <v>52</v>
      </c>
      <c r="O39">
        <v>2</v>
      </c>
      <c r="P39" t="s">
        <v>86</v>
      </c>
      <c r="Q39">
        <v>10</v>
      </c>
      <c r="R39">
        <v>66477</v>
      </c>
      <c r="S39">
        <v>5760000</v>
      </c>
      <c r="T39" s="3">
        <v>37693523</v>
      </c>
    </row>
    <row r="40" spans="1:20" x14ac:dyDescent="0.3">
      <c r="A40">
        <v>1039</v>
      </c>
      <c r="B40" t="s">
        <v>99</v>
      </c>
      <c r="C40" t="s">
        <v>34</v>
      </c>
      <c r="D40">
        <v>48</v>
      </c>
      <c r="E40" t="s">
        <v>68</v>
      </c>
      <c r="F40" t="s">
        <v>62</v>
      </c>
      <c r="G40" t="s">
        <v>105</v>
      </c>
      <c r="H40" t="s">
        <v>106</v>
      </c>
      <c r="I40" t="s">
        <v>97</v>
      </c>
      <c r="J40" t="s">
        <v>40</v>
      </c>
      <c r="K40" t="s">
        <v>126</v>
      </c>
      <c r="L40" t="s">
        <v>59</v>
      </c>
      <c r="M40" t="s">
        <v>51</v>
      </c>
      <c r="N40" t="s">
        <v>52</v>
      </c>
      <c r="O40">
        <v>5</v>
      </c>
      <c r="P40" t="s">
        <v>86</v>
      </c>
      <c r="Q40">
        <v>20</v>
      </c>
      <c r="R40">
        <v>75064</v>
      </c>
      <c r="S40">
        <v>846000</v>
      </c>
      <c r="T40" s="3">
        <v>5470936</v>
      </c>
    </row>
    <row r="41" spans="1:20" x14ac:dyDescent="0.3">
      <c r="A41">
        <v>1040</v>
      </c>
      <c r="B41" t="s">
        <v>101</v>
      </c>
      <c r="C41" t="s">
        <v>21</v>
      </c>
      <c r="D41">
        <v>33</v>
      </c>
      <c r="E41" t="s">
        <v>73</v>
      </c>
      <c r="F41" t="s">
        <v>62</v>
      </c>
      <c r="G41" t="s">
        <v>105</v>
      </c>
      <c r="H41" t="s">
        <v>106</v>
      </c>
      <c r="I41" t="s">
        <v>76</v>
      </c>
      <c r="J41" t="s">
        <v>87</v>
      </c>
      <c r="K41" t="s">
        <v>128</v>
      </c>
      <c r="L41" t="s">
        <v>66</v>
      </c>
      <c r="M41" t="s">
        <v>51</v>
      </c>
      <c r="N41" t="s">
        <v>31</v>
      </c>
      <c r="O41">
        <v>5</v>
      </c>
      <c r="P41" t="s">
        <v>86</v>
      </c>
      <c r="Q41">
        <v>11</v>
      </c>
      <c r="R41">
        <v>130840</v>
      </c>
      <c r="S41">
        <v>1224000</v>
      </c>
      <c r="T41" s="3">
        <v>7893160</v>
      </c>
    </row>
    <row r="42" spans="1:20" x14ac:dyDescent="0.3">
      <c r="A42">
        <v>1041</v>
      </c>
      <c r="B42" t="s">
        <v>99</v>
      </c>
      <c r="C42" t="s">
        <v>34</v>
      </c>
      <c r="D42">
        <v>59</v>
      </c>
      <c r="E42" t="s">
        <v>46</v>
      </c>
      <c r="F42" t="s">
        <v>55</v>
      </c>
      <c r="G42" t="s">
        <v>63</v>
      </c>
      <c r="H42" t="s">
        <v>64</v>
      </c>
      <c r="I42" t="s">
        <v>26</v>
      </c>
      <c r="J42" t="s">
        <v>87</v>
      </c>
      <c r="K42" t="s">
        <v>128</v>
      </c>
      <c r="L42" t="s">
        <v>59</v>
      </c>
      <c r="M42" t="s">
        <v>94</v>
      </c>
      <c r="N42" t="s">
        <v>31</v>
      </c>
      <c r="O42">
        <v>3</v>
      </c>
      <c r="P42" t="s">
        <v>44</v>
      </c>
      <c r="Q42">
        <v>6</v>
      </c>
      <c r="R42">
        <v>153368</v>
      </c>
      <c r="S42">
        <v>5760000</v>
      </c>
      <c r="T42" s="3">
        <v>37606632</v>
      </c>
    </row>
    <row r="43" spans="1:20" x14ac:dyDescent="0.3">
      <c r="A43">
        <v>1042</v>
      </c>
      <c r="B43" t="s">
        <v>114</v>
      </c>
      <c r="C43" t="s">
        <v>34</v>
      </c>
      <c r="D43">
        <v>42</v>
      </c>
      <c r="E43" t="s">
        <v>90</v>
      </c>
      <c r="F43" t="s">
        <v>55</v>
      </c>
      <c r="G43" t="s">
        <v>56</v>
      </c>
      <c r="H43" t="s">
        <v>57</v>
      </c>
      <c r="I43" t="s">
        <v>76</v>
      </c>
      <c r="J43" t="s">
        <v>49</v>
      </c>
      <c r="K43" t="s">
        <v>129</v>
      </c>
      <c r="L43" t="s">
        <v>59</v>
      </c>
      <c r="M43" t="s">
        <v>30</v>
      </c>
      <c r="N43" t="s">
        <v>52</v>
      </c>
      <c r="O43">
        <v>3</v>
      </c>
      <c r="P43" t="s">
        <v>86</v>
      </c>
      <c r="Q43">
        <v>17</v>
      </c>
      <c r="R43">
        <v>77299</v>
      </c>
      <c r="S43">
        <v>702000</v>
      </c>
      <c r="T43" s="3">
        <v>4524701</v>
      </c>
    </row>
    <row r="44" spans="1:20" x14ac:dyDescent="0.3">
      <c r="A44">
        <v>1043</v>
      </c>
      <c r="B44" t="s">
        <v>45</v>
      </c>
      <c r="C44" t="s">
        <v>34</v>
      </c>
      <c r="D44">
        <v>31</v>
      </c>
      <c r="E44" t="s">
        <v>112</v>
      </c>
      <c r="F44" t="s">
        <v>36</v>
      </c>
      <c r="G44" t="s">
        <v>56</v>
      </c>
      <c r="H44" t="s">
        <v>57</v>
      </c>
      <c r="I44" t="s">
        <v>97</v>
      </c>
      <c r="J44" t="s">
        <v>27</v>
      </c>
      <c r="K44" t="s">
        <v>130</v>
      </c>
      <c r="L44" t="s">
        <v>42</v>
      </c>
      <c r="M44" t="s">
        <v>78</v>
      </c>
      <c r="N44" t="s">
        <v>52</v>
      </c>
      <c r="O44">
        <v>4</v>
      </c>
      <c r="P44" t="s">
        <v>44</v>
      </c>
      <c r="Q44">
        <v>8</v>
      </c>
      <c r="R44">
        <v>221608</v>
      </c>
      <c r="S44">
        <v>936000</v>
      </c>
      <c r="T44" s="3">
        <v>5914392</v>
      </c>
    </row>
    <row r="45" spans="1:20" x14ac:dyDescent="0.3">
      <c r="A45">
        <v>1044</v>
      </c>
      <c r="B45" t="s">
        <v>81</v>
      </c>
      <c r="C45" t="s">
        <v>21</v>
      </c>
      <c r="D45">
        <v>52</v>
      </c>
      <c r="E45" t="s">
        <v>35</v>
      </c>
      <c r="F45" t="s">
        <v>62</v>
      </c>
      <c r="G45" t="s">
        <v>56</v>
      </c>
      <c r="H45" t="s">
        <v>57</v>
      </c>
      <c r="I45" t="s">
        <v>48</v>
      </c>
      <c r="J45" t="s">
        <v>40</v>
      </c>
      <c r="K45" t="s">
        <v>131</v>
      </c>
      <c r="L45" t="s">
        <v>66</v>
      </c>
      <c r="M45" t="s">
        <v>30</v>
      </c>
      <c r="N45" t="s">
        <v>31</v>
      </c>
      <c r="O45">
        <v>5</v>
      </c>
      <c r="P45" t="s">
        <v>53</v>
      </c>
      <c r="Q45">
        <v>18</v>
      </c>
      <c r="R45">
        <v>185652</v>
      </c>
      <c r="S45">
        <v>1764000</v>
      </c>
      <c r="T45" s="3">
        <v>11378348</v>
      </c>
    </row>
    <row r="46" spans="1:20" x14ac:dyDescent="0.3">
      <c r="A46">
        <v>1045</v>
      </c>
      <c r="B46" t="s">
        <v>99</v>
      </c>
      <c r="C46" t="s">
        <v>21</v>
      </c>
      <c r="D46">
        <v>45</v>
      </c>
      <c r="E46" t="s">
        <v>82</v>
      </c>
      <c r="F46" t="s">
        <v>62</v>
      </c>
      <c r="G46" t="s">
        <v>56</v>
      </c>
      <c r="H46" t="s">
        <v>57</v>
      </c>
      <c r="I46" t="s">
        <v>76</v>
      </c>
      <c r="J46" t="s">
        <v>49</v>
      </c>
      <c r="K46" t="s">
        <v>132</v>
      </c>
      <c r="L46" t="s">
        <v>66</v>
      </c>
      <c r="M46" t="s">
        <v>30</v>
      </c>
      <c r="N46" t="s">
        <v>31</v>
      </c>
      <c r="O46">
        <v>5</v>
      </c>
      <c r="P46" t="s">
        <v>32</v>
      </c>
      <c r="Q46">
        <v>17</v>
      </c>
      <c r="R46">
        <v>280160</v>
      </c>
      <c r="S46">
        <v>1098000</v>
      </c>
      <c r="T46" s="3">
        <v>6917840</v>
      </c>
    </row>
    <row r="47" spans="1:20" x14ac:dyDescent="0.3">
      <c r="A47">
        <v>1046</v>
      </c>
      <c r="B47" t="s">
        <v>114</v>
      </c>
      <c r="C47" t="s">
        <v>21</v>
      </c>
      <c r="D47">
        <v>36</v>
      </c>
      <c r="E47" t="s">
        <v>35</v>
      </c>
      <c r="F47" t="s">
        <v>55</v>
      </c>
      <c r="G47" t="s">
        <v>63</v>
      </c>
      <c r="H47" t="s">
        <v>64</v>
      </c>
      <c r="I47" t="s">
        <v>39</v>
      </c>
      <c r="J47" t="s">
        <v>49</v>
      </c>
      <c r="K47" t="s">
        <v>133</v>
      </c>
      <c r="L47" t="s">
        <v>42</v>
      </c>
      <c r="M47" t="s">
        <v>51</v>
      </c>
      <c r="N47" t="s">
        <v>52</v>
      </c>
      <c r="O47">
        <v>3</v>
      </c>
      <c r="P47" t="s">
        <v>44</v>
      </c>
      <c r="Q47">
        <v>15</v>
      </c>
      <c r="R47">
        <v>93096</v>
      </c>
      <c r="S47">
        <v>1764000</v>
      </c>
      <c r="T47" s="3">
        <v>11470904</v>
      </c>
    </row>
    <row r="48" spans="1:20" x14ac:dyDescent="0.3">
      <c r="A48">
        <v>1047</v>
      </c>
      <c r="B48" t="s">
        <v>20</v>
      </c>
      <c r="C48" t="s">
        <v>21</v>
      </c>
      <c r="D48">
        <v>32</v>
      </c>
      <c r="E48" t="s">
        <v>22</v>
      </c>
      <c r="F48" t="s">
        <v>55</v>
      </c>
      <c r="G48" t="s">
        <v>115</v>
      </c>
      <c r="H48" t="s">
        <v>106</v>
      </c>
      <c r="I48" t="s">
        <v>39</v>
      </c>
      <c r="J48" t="s">
        <v>87</v>
      </c>
      <c r="K48" t="s">
        <v>134</v>
      </c>
      <c r="L48" t="s">
        <v>66</v>
      </c>
      <c r="M48" t="s">
        <v>30</v>
      </c>
      <c r="N48" t="s">
        <v>31</v>
      </c>
      <c r="O48">
        <v>3</v>
      </c>
      <c r="P48" t="s">
        <v>86</v>
      </c>
      <c r="Q48">
        <v>7</v>
      </c>
      <c r="R48">
        <v>224366</v>
      </c>
      <c r="S48">
        <v>756000</v>
      </c>
      <c r="T48" s="3">
        <v>4731634</v>
      </c>
    </row>
    <row r="49" spans="1:20" x14ac:dyDescent="0.3">
      <c r="A49">
        <v>1048</v>
      </c>
      <c r="B49" t="s">
        <v>114</v>
      </c>
      <c r="C49" t="s">
        <v>34</v>
      </c>
      <c r="D49">
        <v>52</v>
      </c>
      <c r="E49" t="s">
        <v>22</v>
      </c>
      <c r="F49" t="s">
        <v>55</v>
      </c>
      <c r="G49" t="s">
        <v>115</v>
      </c>
      <c r="H49" t="s">
        <v>106</v>
      </c>
      <c r="I49" t="s">
        <v>76</v>
      </c>
      <c r="J49" t="s">
        <v>27</v>
      </c>
      <c r="K49" t="s">
        <v>135</v>
      </c>
      <c r="L49" t="s">
        <v>66</v>
      </c>
      <c r="M49" t="s">
        <v>51</v>
      </c>
      <c r="N49" t="s">
        <v>52</v>
      </c>
      <c r="O49">
        <v>4</v>
      </c>
      <c r="P49" t="s">
        <v>44</v>
      </c>
      <c r="Q49">
        <v>6</v>
      </c>
      <c r="R49">
        <v>182668</v>
      </c>
      <c r="S49">
        <v>756000</v>
      </c>
      <c r="T49" s="3">
        <v>4773332</v>
      </c>
    </row>
    <row r="50" spans="1:20" x14ac:dyDescent="0.3">
      <c r="A50">
        <v>1049</v>
      </c>
      <c r="B50" t="s">
        <v>114</v>
      </c>
      <c r="C50" t="s">
        <v>34</v>
      </c>
      <c r="D50">
        <v>44</v>
      </c>
      <c r="E50" t="s">
        <v>112</v>
      </c>
      <c r="F50" t="s">
        <v>23</v>
      </c>
      <c r="G50" t="s">
        <v>37</v>
      </c>
      <c r="H50" t="s">
        <v>38</v>
      </c>
      <c r="I50" t="s">
        <v>26</v>
      </c>
      <c r="J50" t="s">
        <v>87</v>
      </c>
      <c r="K50" t="s">
        <v>136</v>
      </c>
      <c r="L50" t="s">
        <v>66</v>
      </c>
      <c r="M50" t="s">
        <v>78</v>
      </c>
      <c r="N50" t="s">
        <v>52</v>
      </c>
      <c r="O50">
        <v>5</v>
      </c>
      <c r="P50" t="s">
        <v>86</v>
      </c>
      <c r="Q50">
        <v>18</v>
      </c>
      <c r="R50">
        <v>154578</v>
      </c>
      <c r="S50">
        <v>936000</v>
      </c>
      <c r="T50" s="3">
        <v>5981422</v>
      </c>
    </row>
    <row r="51" spans="1:20" x14ac:dyDescent="0.3">
      <c r="A51">
        <v>1050</v>
      </c>
      <c r="B51" t="s">
        <v>45</v>
      </c>
      <c r="C51" t="s">
        <v>21</v>
      </c>
      <c r="D51">
        <v>55</v>
      </c>
      <c r="E51" t="s">
        <v>22</v>
      </c>
      <c r="F51" t="s">
        <v>55</v>
      </c>
      <c r="G51" t="s">
        <v>115</v>
      </c>
      <c r="H51" t="s">
        <v>106</v>
      </c>
      <c r="I51" t="s">
        <v>48</v>
      </c>
      <c r="J51" t="s">
        <v>87</v>
      </c>
      <c r="K51" t="s">
        <v>137</v>
      </c>
      <c r="L51" t="s">
        <v>42</v>
      </c>
      <c r="M51" t="s">
        <v>94</v>
      </c>
      <c r="N51" t="s">
        <v>52</v>
      </c>
      <c r="O51">
        <v>3</v>
      </c>
      <c r="P51" t="s">
        <v>86</v>
      </c>
      <c r="Q51">
        <v>16</v>
      </c>
      <c r="R51">
        <v>54339</v>
      </c>
      <c r="S51">
        <v>756000</v>
      </c>
      <c r="T51" s="3">
        <v>4901661</v>
      </c>
    </row>
    <row r="52" spans="1:20" x14ac:dyDescent="0.3">
      <c r="A52">
        <v>1051</v>
      </c>
      <c r="B52" t="s">
        <v>33</v>
      </c>
      <c r="C52" t="s">
        <v>34</v>
      </c>
      <c r="D52">
        <v>48</v>
      </c>
      <c r="E52" t="s">
        <v>73</v>
      </c>
      <c r="F52" t="s">
        <v>55</v>
      </c>
      <c r="G52" t="s">
        <v>91</v>
      </c>
      <c r="H52" t="s">
        <v>25</v>
      </c>
      <c r="I52" t="s">
        <v>76</v>
      </c>
      <c r="J52" t="s">
        <v>40</v>
      </c>
      <c r="K52" t="s">
        <v>138</v>
      </c>
      <c r="L52" t="s">
        <v>59</v>
      </c>
      <c r="M52" t="s">
        <v>94</v>
      </c>
      <c r="N52" t="s">
        <v>31</v>
      </c>
      <c r="O52">
        <v>5</v>
      </c>
      <c r="P52" t="s">
        <v>32</v>
      </c>
      <c r="Q52">
        <v>21</v>
      </c>
      <c r="R52">
        <v>53349</v>
      </c>
      <c r="S52">
        <v>1224000</v>
      </c>
      <c r="T52" s="3">
        <v>7970651</v>
      </c>
    </row>
    <row r="53" spans="1:20" x14ac:dyDescent="0.3">
      <c r="A53">
        <v>1052</v>
      </c>
      <c r="B53" t="s">
        <v>104</v>
      </c>
      <c r="C53" t="s">
        <v>34</v>
      </c>
      <c r="D53">
        <v>45</v>
      </c>
      <c r="E53" t="s">
        <v>73</v>
      </c>
      <c r="F53" t="s">
        <v>62</v>
      </c>
      <c r="G53" t="s">
        <v>74</v>
      </c>
      <c r="H53" t="s">
        <v>75</v>
      </c>
      <c r="I53" t="s">
        <v>48</v>
      </c>
      <c r="J53" t="s">
        <v>49</v>
      </c>
      <c r="K53" t="s">
        <v>139</v>
      </c>
      <c r="L53" t="s">
        <v>29</v>
      </c>
      <c r="M53" t="s">
        <v>30</v>
      </c>
      <c r="N53" t="s">
        <v>52</v>
      </c>
      <c r="O53">
        <v>3</v>
      </c>
      <c r="P53" t="s">
        <v>44</v>
      </c>
      <c r="Q53">
        <v>19</v>
      </c>
      <c r="R53">
        <v>261054</v>
      </c>
      <c r="S53">
        <v>1224000</v>
      </c>
      <c r="T53" s="3">
        <v>7762946</v>
      </c>
    </row>
    <row r="54" spans="1:20" x14ac:dyDescent="0.3">
      <c r="A54">
        <v>1053</v>
      </c>
      <c r="B54" t="s">
        <v>108</v>
      </c>
      <c r="C54" t="s">
        <v>21</v>
      </c>
      <c r="D54">
        <v>49</v>
      </c>
      <c r="E54" t="s">
        <v>22</v>
      </c>
      <c r="F54" t="s">
        <v>62</v>
      </c>
      <c r="G54" t="s">
        <v>63</v>
      </c>
      <c r="H54" t="s">
        <v>64</v>
      </c>
      <c r="I54" t="s">
        <v>76</v>
      </c>
      <c r="J54" t="s">
        <v>40</v>
      </c>
      <c r="K54" t="s">
        <v>140</v>
      </c>
      <c r="L54" t="s">
        <v>66</v>
      </c>
      <c r="M54" t="s">
        <v>51</v>
      </c>
      <c r="N54" t="s">
        <v>31</v>
      </c>
      <c r="O54">
        <v>3</v>
      </c>
      <c r="P54" t="s">
        <v>32</v>
      </c>
      <c r="Q54">
        <v>25</v>
      </c>
      <c r="R54">
        <v>50224</v>
      </c>
      <c r="S54">
        <v>756000</v>
      </c>
      <c r="T54" s="3">
        <v>4905776</v>
      </c>
    </row>
    <row r="55" spans="1:20" x14ac:dyDescent="0.3">
      <c r="A55">
        <v>1054</v>
      </c>
      <c r="B55" t="s">
        <v>67</v>
      </c>
      <c r="C55" t="s">
        <v>21</v>
      </c>
      <c r="D55">
        <v>51</v>
      </c>
      <c r="E55" t="s">
        <v>118</v>
      </c>
      <c r="F55" t="s">
        <v>62</v>
      </c>
      <c r="G55" t="s">
        <v>69</v>
      </c>
      <c r="H55" t="s">
        <v>69</v>
      </c>
      <c r="I55" t="s">
        <v>76</v>
      </c>
      <c r="J55" t="s">
        <v>27</v>
      </c>
      <c r="K55" t="s">
        <v>141</v>
      </c>
      <c r="L55" t="s">
        <v>66</v>
      </c>
      <c r="M55" t="s">
        <v>94</v>
      </c>
      <c r="N55" t="s">
        <v>31</v>
      </c>
      <c r="O55">
        <v>2</v>
      </c>
      <c r="P55" t="s">
        <v>32</v>
      </c>
      <c r="Q55">
        <v>23</v>
      </c>
      <c r="R55">
        <v>247082</v>
      </c>
      <c r="S55">
        <v>1350000</v>
      </c>
      <c r="T55" s="3">
        <v>8602918</v>
      </c>
    </row>
    <row r="56" spans="1:20" x14ac:dyDescent="0.3">
      <c r="A56">
        <v>1055</v>
      </c>
      <c r="B56" t="s">
        <v>104</v>
      </c>
      <c r="C56" t="s">
        <v>34</v>
      </c>
      <c r="D56">
        <v>35</v>
      </c>
      <c r="E56" t="s">
        <v>46</v>
      </c>
      <c r="F56" t="s">
        <v>36</v>
      </c>
      <c r="G56" t="s">
        <v>63</v>
      </c>
      <c r="H56" t="s">
        <v>64</v>
      </c>
      <c r="I56" t="s">
        <v>39</v>
      </c>
      <c r="J56" t="s">
        <v>87</v>
      </c>
      <c r="K56" t="s">
        <v>142</v>
      </c>
      <c r="L56" t="s">
        <v>66</v>
      </c>
      <c r="M56" t="s">
        <v>78</v>
      </c>
      <c r="N56" t="s">
        <v>31</v>
      </c>
      <c r="O56">
        <v>3</v>
      </c>
      <c r="P56" t="s">
        <v>44</v>
      </c>
      <c r="Q56">
        <v>9</v>
      </c>
      <c r="R56">
        <v>63492</v>
      </c>
      <c r="S56">
        <v>5760000</v>
      </c>
      <c r="T56" s="3">
        <v>37696508</v>
      </c>
    </row>
    <row r="57" spans="1:20" x14ac:dyDescent="0.3">
      <c r="A57">
        <v>1056</v>
      </c>
      <c r="B57" t="s">
        <v>108</v>
      </c>
      <c r="C57" t="s">
        <v>34</v>
      </c>
      <c r="D57">
        <v>50</v>
      </c>
      <c r="E57" t="s">
        <v>68</v>
      </c>
      <c r="F57" t="s">
        <v>62</v>
      </c>
      <c r="G57" t="s">
        <v>74</v>
      </c>
      <c r="H57" t="s">
        <v>75</v>
      </c>
      <c r="I57" t="s">
        <v>48</v>
      </c>
      <c r="J57" t="s">
        <v>87</v>
      </c>
      <c r="K57" t="s">
        <v>143</v>
      </c>
      <c r="L57" t="s">
        <v>66</v>
      </c>
      <c r="M57" t="s">
        <v>30</v>
      </c>
      <c r="N57" t="s">
        <v>31</v>
      </c>
      <c r="O57">
        <v>4</v>
      </c>
      <c r="P57" t="s">
        <v>86</v>
      </c>
      <c r="Q57">
        <v>7</v>
      </c>
      <c r="R57">
        <v>266404</v>
      </c>
      <c r="S57">
        <v>846000</v>
      </c>
      <c r="T57" s="3">
        <v>5279596</v>
      </c>
    </row>
    <row r="58" spans="1:20" x14ac:dyDescent="0.3">
      <c r="A58">
        <v>1057</v>
      </c>
      <c r="B58" t="s">
        <v>60</v>
      </c>
      <c r="C58" t="s">
        <v>34</v>
      </c>
      <c r="D58">
        <v>30</v>
      </c>
      <c r="E58" t="s">
        <v>82</v>
      </c>
      <c r="F58" t="s">
        <v>36</v>
      </c>
      <c r="G58" t="s">
        <v>115</v>
      </c>
      <c r="H58" t="s">
        <v>106</v>
      </c>
      <c r="I58" t="s">
        <v>76</v>
      </c>
      <c r="J58" t="s">
        <v>87</v>
      </c>
      <c r="K58" t="s">
        <v>144</v>
      </c>
      <c r="L58" t="s">
        <v>66</v>
      </c>
      <c r="M58" t="s">
        <v>51</v>
      </c>
      <c r="N58" t="s">
        <v>52</v>
      </c>
      <c r="O58">
        <v>3</v>
      </c>
      <c r="P58" t="s">
        <v>44</v>
      </c>
      <c r="Q58">
        <v>23</v>
      </c>
      <c r="R58">
        <v>127482</v>
      </c>
      <c r="S58">
        <v>1098000</v>
      </c>
      <c r="T58" s="3">
        <v>7070518</v>
      </c>
    </row>
    <row r="59" spans="1:20" x14ac:dyDescent="0.3">
      <c r="A59">
        <v>1058</v>
      </c>
      <c r="B59" t="s">
        <v>99</v>
      </c>
      <c r="C59" t="s">
        <v>21</v>
      </c>
      <c r="D59">
        <v>28</v>
      </c>
      <c r="E59" t="s">
        <v>46</v>
      </c>
      <c r="F59" t="s">
        <v>62</v>
      </c>
      <c r="G59" t="s">
        <v>47</v>
      </c>
      <c r="H59" t="s">
        <v>25</v>
      </c>
      <c r="I59" t="s">
        <v>97</v>
      </c>
      <c r="J59" t="s">
        <v>27</v>
      </c>
      <c r="K59" t="s">
        <v>145</v>
      </c>
      <c r="L59" t="s">
        <v>42</v>
      </c>
      <c r="M59" t="s">
        <v>78</v>
      </c>
      <c r="N59" t="s">
        <v>31</v>
      </c>
      <c r="O59">
        <v>5</v>
      </c>
      <c r="P59" t="s">
        <v>53</v>
      </c>
      <c r="Q59">
        <v>15</v>
      </c>
      <c r="R59">
        <v>73860</v>
      </c>
      <c r="S59">
        <v>5760000</v>
      </c>
      <c r="T59" s="3">
        <v>37686140</v>
      </c>
    </row>
    <row r="60" spans="1:20" x14ac:dyDescent="0.3">
      <c r="A60">
        <v>1059</v>
      </c>
      <c r="B60" t="s">
        <v>79</v>
      </c>
      <c r="C60" t="s">
        <v>34</v>
      </c>
      <c r="D60">
        <v>34</v>
      </c>
      <c r="E60" t="s">
        <v>73</v>
      </c>
      <c r="F60" t="s">
        <v>62</v>
      </c>
      <c r="G60" t="s">
        <v>37</v>
      </c>
      <c r="H60" t="s">
        <v>38</v>
      </c>
      <c r="I60" t="s">
        <v>48</v>
      </c>
      <c r="J60" t="s">
        <v>27</v>
      </c>
      <c r="K60" t="s">
        <v>146</v>
      </c>
      <c r="L60" t="s">
        <v>71</v>
      </c>
      <c r="M60" t="s">
        <v>94</v>
      </c>
      <c r="N60" t="s">
        <v>52</v>
      </c>
      <c r="O60">
        <v>3</v>
      </c>
      <c r="P60" t="s">
        <v>44</v>
      </c>
      <c r="Q60">
        <v>6</v>
      </c>
      <c r="R60">
        <v>159821</v>
      </c>
      <c r="S60">
        <v>1224000</v>
      </c>
      <c r="T60" s="3">
        <v>7864179</v>
      </c>
    </row>
    <row r="61" spans="1:20" x14ac:dyDescent="0.3">
      <c r="A61">
        <v>1060</v>
      </c>
      <c r="B61" t="s">
        <v>95</v>
      </c>
      <c r="C61" t="s">
        <v>21</v>
      </c>
      <c r="D61">
        <v>39</v>
      </c>
      <c r="E61" t="s">
        <v>22</v>
      </c>
      <c r="F61" t="s">
        <v>23</v>
      </c>
      <c r="G61" t="s">
        <v>91</v>
      </c>
      <c r="H61" t="s">
        <v>25</v>
      </c>
      <c r="I61" t="s">
        <v>48</v>
      </c>
      <c r="J61" t="s">
        <v>40</v>
      </c>
      <c r="K61" t="s">
        <v>147</v>
      </c>
      <c r="L61" t="s">
        <v>66</v>
      </c>
      <c r="M61" t="s">
        <v>78</v>
      </c>
      <c r="N61" t="s">
        <v>31</v>
      </c>
      <c r="O61">
        <v>3</v>
      </c>
      <c r="P61" t="s">
        <v>86</v>
      </c>
      <c r="Q61">
        <v>5</v>
      </c>
      <c r="R61">
        <v>278601</v>
      </c>
      <c r="S61">
        <v>756000</v>
      </c>
      <c r="T61" s="3">
        <v>4677399</v>
      </c>
    </row>
    <row r="62" spans="1:20" x14ac:dyDescent="0.3">
      <c r="A62">
        <v>1061</v>
      </c>
      <c r="B62" t="s">
        <v>54</v>
      </c>
      <c r="C62" t="s">
        <v>21</v>
      </c>
      <c r="D62">
        <v>27</v>
      </c>
      <c r="E62" t="s">
        <v>90</v>
      </c>
      <c r="F62" t="s">
        <v>36</v>
      </c>
      <c r="G62" t="s">
        <v>69</v>
      </c>
      <c r="H62" t="s">
        <v>69</v>
      </c>
      <c r="I62" t="s">
        <v>48</v>
      </c>
      <c r="J62" t="s">
        <v>27</v>
      </c>
      <c r="K62" t="s">
        <v>148</v>
      </c>
      <c r="L62" t="s">
        <v>66</v>
      </c>
      <c r="M62" t="s">
        <v>94</v>
      </c>
      <c r="N62" t="s">
        <v>52</v>
      </c>
      <c r="O62">
        <v>3</v>
      </c>
      <c r="P62" t="s">
        <v>44</v>
      </c>
      <c r="Q62">
        <v>7</v>
      </c>
      <c r="R62">
        <v>259714</v>
      </c>
      <c r="S62">
        <v>702000</v>
      </c>
      <c r="T62" s="3">
        <v>4342286</v>
      </c>
    </row>
    <row r="63" spans="1:20" x14ac:dyDescent="0.3">
      <c r="A63">
        <v>1062</v>
      </c>
      <c r="B63" t="s">
        <v>20</v>
      </c>
      <c r="C63" t="s">
        <v>21</v>
      </c>
      <c r="D63">
        <v>32</v>
      </c>
      <c r="E63" t="s">
        <v>73</v>
      </c>
      <c r="F63" t="s">
        <v>55</v>
      </c>
      <c r="G63" t="s">
        <v>56</v>
      </c>
      <c r="H63" t="s">
        <v>57</v>
      </c>
      <c r="I63" t="s">
        <v>26</v>
      </c>
      <c r="J63" t="s">
        <v>49</v>
      </c>
      <c r="K63" t="s">
        <v>149</v>
      </c>
      <c r="L63" t="s">
        <v>71</v>
      </c>
      <c r="M63" t="s">
        <v>43</v>
      </c>
      <c r="N63" t="s">
        <v>31</v>
      </c>
      <c r="O63">
        <v>4</v>
      </c>
      <c r="P63" t="s">
        <v>32</v>
      </c>
      <c r="Q63">
        <v>14</v>
      </c>
      <c r="R63">
        <v>199323</v>
      </c>
      <c r="S63">
        <v>1224000</v>
      </c>
      <c r="T63" s="3">
        <v>7824677</v>
      </c>
    </row>
    <row r="64" spans="1:20" x14ac:dyDescent="0.3">
      <c r="A64">
        <v>1063</v>
      </c>
      <c r="B64" t="s">
        <v>79</v>
      </c>
      <c r="C64" t="s">
        <v>21</v>
      </c>
      <c r="D64">
        <v>33</v>
      </c>
      <c r="E64" t="s">
        <v>112</v>
      </c>
      <c r="F64" t="s">
        <v>36</v>
      </c>
      <c r="G64" t="s">
        <v>56</v>
      </c>
      <c r="H64" t="s">
        <v>57</v>
      </c>
      <c r="I64" t="s">
        <v>76</v>
      </c>
      <c r="J64" t="s">
        <v>87</v>
      </c>
      <c r="K64" t="s">
        <v>150</v>
      </c>
      <c r="L64" t="s">
        <v>29</v>
      </c>
      <c r="M64" t="s">
        <v>30</v>
      </c>
      <c r="N64" t="s">
        <v>52</v>
      </c>
      <c r="O64">
        <v>5</v>
      </c>
      <c r="P64" t="s">
        <v>44</v>
      </c>
      <c r="Q64">
        <v>16</v>
      </c>
      <c r="R64">
        <v>234788</v>
      </c>
      <c r="S64">
        <v>936000</v>
      </c>
      <c r="T64" s="3">
        <v>5901212</v>
      </c>
    </row>
    <row r="65" spans="1:20" x14ac:dyDescent="0.3">
      <c r="A65">
        <v>1064</v>
      </c>
      <c r="B65" t="s">
        <v>54</v>
      </c>
      <c r="C65" t="s">
        <v>34</v>
      </c>
      <c r="D65">
        <v>41</v>
      </c>
      <c r="E65" t="s">
        <v>73</v>
      </c>
      <c r="F65" t="s">
        <v>23</v>
      </c>
      <c r="G65" t="s">
        <v>69</v>
      </c>
      <c r="H65" t="s">
        <v>69</v>
      </c>
      <c r="I65" t="s">
        <v>76</v>
      </c>
      <c r="J65" t="s">
        <v>27</v>
      </c>
      <c r="K65" t="s">
        <v>151</v>
      </c>
      <c r="L65" t="s">
        <v>42</v>
      </c>
      <c r="M65" t="s">
        <v>30</v>
      </c>
      <c r="N65" t="s">
        <v>31</v>
      </c>
      <c r="O65">
        <v>3</v>
      </c>
      <c r="P65" t="s">
        <v>32</v>
      </c>
      <c r="Q65">
        <v>13</v>
      </c>
      <c r="R65">
        <v>221136</v>
      </c>
      <c r="S65">
        <v>1224000</v>
      </c>
      <c r="T65" s="3">
        <v>7802864</v>
      </c>
    </row>
    <row r="66" spans="1:20" x14ac:dyDescent="0.3">
      <c r="A66">
        <v>1065</v>
      </c>
      <c r="B66" t="s">
        <v>79</v>
      </c>
      <c r="C66" t="s">
        <v>34</v>
      </c>
      <c r="D66">
        <v>52</v>
      </c>
      <c r="E66" t="s">
        <v>118</v>
      </c>
      <c r="F66" t="s">
        <v>55</v>
      </c>
      <c r="G66" t="s">
        <v>63</v>
      </c>
      <c r="H66" t="s">
        <v>64</v>
      </c>
      <c r="I66" t="s">
        <v>26</v>
      </c>
      <c r="J66" t="s">
        <v>87</v>
      </c>
      <c r="K66" t="s">
        <v>152</v>
      </c>
      <c r="L66" t="s">
        <v>59</v>
      </c>
      <c r="M66" t="s">
        <v>78</v>
      </c>
      <c r="N66" t="s">
        <v>52</v>
      </c>
      <c r="O66">
        <v>4</v>
      </c>
      <c r="P66" t="s">
        <v>53</v>
      </c>
      <c r="Q66">
        <v>18</v>
      </c>
      <c r="R66">
        <v>189991</v>
      </c>
      <c r="S66">
        <v>1350000</v>
      </c>
      <c r="T66" s="3">
        <v>8660009</v>
      </c>
    </row>
    <row r="67" spans="1:20" x14ac:dyDescent="0.3">
      <c r="A67">
        <v>1066</v>
      </c>
      <c r="B67" t="s">
        <v>72</v>
      </c>
      <c r="C67" t="s">
        <v>34</v>
      </c>
      <c r="D67">
        <v>25</v>
      </c>
      <c r="E67" t="s">
        <v>112</v>
      </c>
      <c r="F67" t="s">
        <v>36</v>
      </c>
      <c r="G67" t="s">
        <v>91</v>
      </c>
      <c r="H67" t="s">
        <v>25</v>
      </c>
      <c r="I67" t="s">
        <v>26</v>
      </c>
      <c r="J67" t="s">
        <v>87</v>
      </c>
      <c r="K67" t="s">
        <v>153</v>
      </c>
      <c r="L67" t="s">
        <v>59</v>
      </c>
      <c r="M67" t="s">
        <v>94</v>
      </c>
      <c r="N67" t="s">
        <v>52</v>
      </c>
      <c r="O67">
        <v>2</v>
      </c>
      <c r="P67" t="s">
        <v>86</v>
      </c>
      <c r="Q67">
        <v>20</v>
      </c>
      <c r="R67">
        <v>177976</v>
      </c>
      <c r="S67">
        <v>936000</v>
      </c>
      <c r="T67" s="3">
        <v>5958024</v>
      </c>
    </row>
    <row r="68" spans="1:20" x14ac:dyDescent="0.3">
      <c r="A68">
        <v>1067</v>
      </c>
      <c r="B68" t="s">
        <v>20</v>
      </c>
      <c r="C68" t="s">
        <v>21</v>
      </c>
      <c r="D68">
        <v>32</v>
      </c>
      <c r="E68" t="s">
        <v>35</v>
      </c>
      <c r="F68" t="s">
        <v>36</v>
      </c>
      <c r="G68" t="s">
        <v>115</v>
      </c>
      <c r="H68" t="s">
        <v>106</v>
      </c>
      <c r="I68" t="s">
        <v>26</v>
      </c>
      <c r="J68" t="s">
        <v>87</v>
      </c>
      <c r="K68" t="s">
        <v>154</v>
      </c>
      <c r="L68" t="s">
        <v>66</v>
      </c>
      <c r="M68" t="s">
        <v>94</v>
      </c>
      <c r="N68" t="s">
        <v>31</v>
      </c>
      <c r="O68">
        <v>4</v>
      </c>
      <c r="P68" t="s">
        <v>53</v>
      </c>
      <c r="Q68">
        <v>16</v>
      </c>
      <c r="R68">
        <v>259483</v>
      </c>
      <c r="S68">
        <v>1764000</v>
      </c>
      <c r="T68" s="3">
        <v>11304517</v>
      </c>
    </row>
    <row r="69" spans="1:20" x14ac:dyDescent="0.3">
      <c r="A69">
        <v>1068</v>
      </c>
      <c r="B69" t="s">
        <v>60</v>
      </c>
      <c r="C69" t="s">
        <v>34</v>
      </c>
      <c r="D69">
        <v>30</v>
      </c>
      <c r="E69" t="s">
        <v>22</v>
      </c>
      <c r="F69" t="s">
        <v>23</v>
      </c>
      <c r="G69" t="s">
        <v>63</v>
      </c>
      <c r="H69" t="s">
        <v>64</v>
      </c>
      <c r="I69" t="s">
        <v>48</v>
      </c>
      <c r="J69" t="s">
        <v>40</v>
      </c>
      <c r="K69" t="s">
        <v>155</v>
      </c>
      <c r="L69" t="s">
        <v>42</v>
      </c>
      <c r="M69" t="s">
        <v>94</v>
      </c>
      <c r="N69" t="s">
        <v>31</v>
      </c>
      <c r="O69">
        <v>3</v>
      </c>
      <c r="P69" t="s">
        <v>53</v>
      </c>
      <c r="Q69">
        <v>16</v>
      </c>
      <c r="R69">
        <v>224212</v>
      </c>
      <c r="S69">
        <v>756000</v>
      </c>
      <c r="T69" s="3">
        <v>4731788</v>
      </c>
    </row>
    <row r="70" spans="1:20" x14ac:dyDescent="0.3">
      <c r="A70">
        <v>1069</v>
      </c>
      <c r="B70" t="s">
        <v>108</v>
      </c>
      <c r="C70" t="s">
        <v>21</v>
      </c>
      <c r="D70">
        <v>38</v>
      </c>
      <c r="E70" t="s">
        <v>61</v>
      </c>
      <c r="F70" t="s">
        <v>36</v>
      </c>
      <c r="G70" t="s">
        <v>47</v>
      </c>
      <c r="H70" t="s">
        <v>25</v>
      </c>
      <c r="I70" t="s">
        <v>26</v>
      </c>
      <c r="J70" t="s">
        <v>40</v>
      </c>
      <c r="K70" t="s">
        <v>156</v>
      </c>
      <c r="L70" t="s">
        <v>59</v>
      </c>
      <c r="M70" t="s">
        <v>94</v>
      </c>
      <c r="N70" t="s">
        <v>52</v>
      </c>
      <c r="O70">
        <v>4</v>
      </c>
      <c r="P70" t="s">
        <v>86</v>
      </c>
      <c r="Q70">
        <v>7</v>
      </c>
      <c r="R70">
        <v>141842</v>
      </c>
      <c r="S70">
        <v>2250000</v>
      </c>
      <c r="T70" s="3">
        <v>14608158</v>
      </c>
    </row>
    <row r="71" spans="1:20" x14ac:dyDescent="0.3">
      <c r="A71">
        <v>1070</v>
      </c>
      <c r="B71" t="s">
        <v>108</v>
      </c>
      <c r="C71" t="s">
        <v>21</v>
      </c>
      <c r="D71">
        <v>41</v>
      </c>
      <c r="E71" t="s">
        <v>35</v>
      </c>
      <c r="F71" t="s">
        <v>36</v>
      </c>
      <c r="G71" t="s">
        <v>105</v>
      </c>
      <c r="H71" t="s">
        <v>106</v>
      </c>
      <c r="I71" t="s">
        <v>39</v>
      </c>
      <c r="J71" t="s">
        <v>40</v>
      </c>
      <c r="K71" t="s">
        <v>157</v>
      </c>
      <c r="L71" t="s">
        <v>42</v>
      </c>
      <c r="M71" t="s">
        <v>51</v>
      </c>
      <c r="N71" t="s">
        <v>31</v>
      </c>
      <c r="O71">
        <v>3</v>
      </c>
      <c r="P71" t="s">
        <v>86</v>
      </c>
      <c r="Q71">
        <v>24</v>
      </c>
      <c r="R71">
        <v>267785</v>
      </c>
      <c r="S71">
        <v>1764000</v>
      </c>
      <c r="T71" s="3">
        <v>11296215</v>
      </c>
    </row>
    <row r="72" spans="1:20" x14ac:dyDescent="0.3">
      <c r="A72">
        <v>1071</v>
      </c>
      <c r="B72" t="s">
        <v>54</v>
      </c>
      <c r="C72" t="s">
        <v>21</v>
      </c>
      <c r="D72">
        <v>48</v>
      </c>
      <c r="E72" t="s">
        <v>61</v>
      </c>
      <c r="F72" t="s">
        <v>55</v>
      </c>
      <c r="G72" t="s">
        <v>115</v>
      </c>
      <c r="H72" t="s">
        <v>106</v>
      </c>
      <c r="I72" t="s">
        <v>97</v>
      </c>
      <c r="J72" t="s">
        <v>87</v>
      </c>
      <c r="K72" t="s">
        <v>158</v>
      </c>
      <c r="L72" t="s">
        <v>42</v>
      </c>
      <c r="M72" t="s">
        <v>51</v>
      </c>
      <c r="N72" t="s">
        <v>52</v>
      </c>
      <c r="O72">
        <v>3</v>
      </c>
      <c r="P72" t="s">
        <v>53</v>
      </c>
      <c r="Q72">
        <v>5</v>
      </c>
      <c r="R72">
        <v>130076</v>
      </c>
      <c r="S72">
        <v>2250000</v>
      </c>
      <c r="T72" s="3">
        <v>14619924</v>
      </c>
    </row>
    <row r="73" spans="1:20" x14ac:dyDescent="0.3">
      <c r="A73">
        <v>1072</v>
      </c>
      <c r="B73" t="s">
        <v>67</v>
      </c>
      <c r="C73" t="s">
        <v>34</v>
      </c>
      <c r="D73">
        <v>56</v>
      </c>
      <c r="E73" t="s">
        <v>46</v>
      </c>
      <c r="F73" t="s">
        <v>23</v>
      </c>
      <c r="G73" t="s">
        <v>69</v>
      </c>
      <c r="H73" t="s">
        <v>69</v>
      </c>
      <c r="I73" t="s">
        <v>39</v>
      </c>
      <c r="J73" t="s">
        <v>40</v>
      </c>
      <c r="K73" t="s">
        <v>151</v>
      </c>
      <c r="L73" t="s">
        <v>42</v>
      </c>
      <c r="M73" t="s">
        <v>78</v>
      </c>
      <c r="N73" t="s">
        <v>31</v>
      </c>
      <c r="O73">
        <v>2</v>
      </c>
      <c r="P73" t="s">
        <v>32</v>
      </c>
      <c r="Q73">
        <v>10</v>
      </c>
      <c r="R73">
        <v>198702</v>
      </c>
      <c r="S73">
        <v>5760000</v>
      </c>
      <c r="T73" s="3">
        <v>37561298</v>
      </c>
    </row>
    <row r="74" spans="1:20" x14ac:dyDescent="0.3">
      <c r="A74">
        <v>1073</v>
      </c>
      <c r="B74" t="s">
        <v>60</v>
      </c>
      <c r="C74" t="s">
        <v>34</v>
      </c>
      <c r="D74">
        <v>56</v>
      </c>
      <c r="E74" t="s">
        <v>46</v>
      </c>
      <c r="F74" t="s">
        <v>23</v>
      </c>
      <c r="G74" t="s">
        <v>63</v>
      </c>
      <c r="H74" t="s">
        <v>64</v>
      </c>
      <c r="I74" t="s">
        <v>39</v>
      </c>
      <c r="J74" t="s">
        <v>87</v>
      </c>
      <c r="K74" t="s">
        <v>159</v>
      </c>
      <c r="L74" t="s">
        <v>71</v>
      </c>
      <c r="M74" t="s">
        <v>43</v>
      </c>
      <c r="N74" t="s">
        <v>52</v>
      </c>
      <c r="O74">
        <v>4</v>
      </c>
      <c r="P74" t="s">
        <v>44</v>
      </c>
      <c r="Q74">
        <v>9</v>
      </c>
      <c r="R74">
        <v>175719</v>
      </c>
      <c r="S74">
        <v>5760000</v>
      </c>
      <c r="T74" s="3">
        <v>37584281</v>
      </c>
    </row>
    <row r="75" spans="1:20" x14ac:dyDescent="0.3">
      <c r="A75">
        <v>1074</v>
      </c>
      <c r="B75" t="s">
        <v>104</v>
      </c>
      <c r="C75" t="s">
        <v>21</v>
      </c>
      <c r="D75">
        <v>38</v>
      </c>
      <c r="E75" t="s">
        <v>35</v>
      </c>
      <c r="F75" t="s">
        <v>62</v>
      </c>
      <c r="G75" t="s">
        <v>56</v>
      </c>
      <c r="H75" t="s">
        <v>57</v>
      </c>
      <c r="I75" t="s">
        <v>97</v>
      </c>
      <c r="J75" t="s">
        <v>49</v>
      </c>
      <c r="K75" t="s">
        <v>160</v>
      </c>
      <c r="L75" t="s">
        <v>66</v>
      </c>
      <c r="M75" t="s">
        <v>94</v>
      </c>
      <c r="N75" t="s">
        <v>31</v>
      </c>
      <c r="O75">
        <v>4</v>
      </c>
      <c r="P75" t="s">
        <v>44</v>
      </c>
      <c r="Q75">
        <v>18</v>
      </c>
      <c r="R75">
        <v>254412</v>
      </c>
      <c r="S75">
        <v>1764000</v>
      </c>
      <c r="T75" s="3">
        <v>11309588</v>
      </c>
    </row>
    <row r="76" spans="1:20" x14ac:dyDescent="0.3">
      <c r="A76">
        <v>1075</v>
      </c>
      <c r="B76" t="s">
        <v>54</v>
      </c>
      <c r="C76" t="s">
        <v>21</v>
      </c>
      <c r="D76">
        <v>34</v>
      </c>
      <c r="E76" t="s">
        <v>22</v>
      </c>
      <c r="F76" t="s">
        <v>23</v>
      </c>
      <c r="G76" t="s">
        <v>74</v>
      </c>
      <c r="H76" t="s">
        <v>75</v>
      </c>
      <c r="I76" t="s">
        <v>97</v>
      </c>
      <c r="J76" t="s">
        <v>87</v>
      </c>
      <c r="K76" t="s">
        <v>161</v>
      </c>
      <c r="L76" t="s">
        <v>71</v>
      </c>
      <c r="M76" t="s">
        <v>51</v>
      </c>
      <c r="N76" t="s">
        <v>52</v>
      </c>
      <c r="O76">
        <v>4</v>
      </c>
      <c r="P76" t="s">
        <v>32</v>
      </c>
      <c r="Q76">
        <v>15</v>
      </c>
      <c r="R76">
        <v>211692</v>
      </c>
      <c r="S76">
        <v>756000</v>
      </c>
      <c r="T76" s="3">
        <v>4744308</v>
      </c>
    </row>
    <row r="77" spans="1:20" x14ac:dyDescent="0.3">
      <c r="A77">
        <v>1076</v>
      </c>
      <c r="B77" t="s">
        <v>54</v>
      </c>
      <c r="C77" t="s">
        <v>21</v>
      </c>
      <c r="D77">
        <v>35</v>
      </c>
      <c r="E77" t="s">
        <v>46</v>
      </c>
      <c r="F77" t="s">
        <v>23</v>
      </c>
      <c r="G77" t="s">
        <v>115</v>
      </c>
      <c r="H77" t="s">
        <v>106</v>
      </c>
      <c r="I77" t="s">
        <v>48</v>
      </c>
      <c r="J77" t="s">
        <v>87</v>
      </c>
      <c r="K77" t="s">
        <v>162</v>
      </c>
      <c r="L77" t="s">
        <v>42</v>
      </c>
      <c r="M77" t="s">
        <v>51</v>
      </c>
      <c r="N77" t="s">
        <v>31</v>
      </c>
      <c r="O77">
        <v>3</v>
      </c>
      <c r="P77" t="s">
        <v>32</v>
      </c>
      <c r="Q77">
        <v>14</v>
      </c>
      <c r="R77">
        <v>83614</v>
      </c>
      <c r="S77">
        <v>5760000</v>
      </c>
      <c r="T77" s="3">
        <v>37676386</v>
      </c>
    </row>
    <row r="78" spans="1:20" x14ac:dyDescent="0.3">
      <c r="A78">
        <v>1077</v>
      </c>
      <c r="B78" t="s">
        <v>67</v>
      </c>
      <c r="C78" t="s">
        <v>34</v>
      </c>
      <c r="D78">
        <v>46</v>
      </c>
      <c r="E78" t="s">
        <v>61</v>
      </c>
      <c r="F78" t="s">
        <v>36</v>
      </c>
      <c r="G78" t="s">
        <v>91</v>
      </c>
      <c r="H78" t="s">
        <v>25</v>
      </c>
      <c r="I78" t="s">
        <v>39</v>
      </c>
      <c r="J78" t="s">
        <v>27</v>
      </c>
      <c r="K78" t="s">
        <v>163</v>
      </c>
      <c r="L78" t="s">
        <v>59</v>
      </c>
      <c r="M78" t="s">
        <v>51</v>
      </c>
      <c r="N78" t="s">
        <v>31</v>
      </c>
      <c r="O78">
        <v>3</v>
      </c>
      <c r="P78" t="s">
        <v>86</v>
      </c>
      <c r="Q78">
        <v>17</v>
      </c>
      <c r="R78">
        <v>245440</v>
      </c>
      <c r="S78">
        <v>2250000</v>
      </c>
      <c r="T78" s="3">
        <v>14504560</v>
      </c>
    </row>
    <row r="79" spans="1:20" x14ac:dyDescent="0.3">
      <c r="A79">
        <v>1078</v>
      </c>
      <c r="B79" t="s">
        <v>72</v>
      </c>
      <c r="C79" t="s">
        <v>34</v>
      </c>
      <c r="D79">
        <v>25</v>
      </c>
      <c r="E79" t="s">
        <v>61</v>
      </c>
      <c r="F79" t="s">
        <v>55</v>
      </c>
      <c r="G79" t="s">
        <v>37</v>
      </c>
      <c r="H79" t="s">
        <v>38</v>
      </c>
      <c r="I79" t="s">
        <v>48</v>
      </c>
      <c r="J79" t="s">
        <v>40</v>
      </c>
      <c r="K79" t="s">
        <v>164</v>
      </c>
      <c r="L79" t="s">
        <v>29</v>
      </c>
      <c r="M79" t="s">
        <v>94</v>
      </c>
      <c r="N79" t="s">
        <v>31</v>
      </c>
      <c r="O79">
        <v>3</v>
      </c>
      <c r="P79" t="s">
        <v>86</v>
      </c>
      <c r="Q79">
        <v>11</v>
      </c>
      <c r="R79">
        <v>68634</v>
      </c>
      <c r="S79">
        <v>2250000</v>
      </c>
      <c r="T79" s="3">
        <v>14681366</v>
      </c>
    </row>
    <row r="80" spans="1:20" x14ac:dyDescent="0.3">
      <c r="A80">
        <v>1079</v>
      </c>
      <c r="B80" t="s">
        <v>54</v>
      </c>
      <c r="C80" t="s">
        <v>34</v>
      </c>
      <c r="D80">
        <v>38</v>
      </c>
      <c r="E80" t="s">
        <v>82</v>
      </c>
      <c r="F80" t="s">
        <v>23</v>
      </c>
      <c r="G80" t="s">
        <v>74</v>
      </c>
      <c r="H80" t="s">
        <v>75</v>
      </c>
      <c r="I80" t="s">
        <v>48</v>
      </c>
      <c r="J80" t="s">
        <v>87</v>
      </c>
      <c r="K80" t="s">
        <v>165</v>
      </c>
      <c r="L80" t="s">
        <v>71</v>
      </c>
      <c r="M80" t="s">
        <v>30</v>
      </c>
      <c r="N80" t="s">
        <v>52</v>
      </c>
      <c r="O80">
        <v>3</v>
      </c>
      <c r="P80" t="s">
        <v>53</v>
      </c>
      <c r="Q80">
        <v>16</v>
      </c>
      <c r="R80">
        <v>110821</v>
      </c>
      <c r="S80">
        <v>1098000</v>
      </c>
      <c r="T80" s="3">
        <v>7087179</v>
      </c>
    </row>
    <row r="81" spans="1:20" x14ac:dyDescent="0.3">
      <c r="A81">
        <v>1080</v>
      </c>
      <c r="B81" t="s">
        <v>60</v>
      </c>
      <c r="C81" t="s">
        <v>21</v>
      </c>
      <c r="D81">
        <v>30</v>
      </c>
      <c r="E81" t="s">
        <v>73</v>
      </c>
      <c r="F81" t="s">
        <v>55</v>
      </c>
      <c r="G81" t="s">
        <v>74</v>
      </c>
      <c r="H81" t="s">
        <v>75</v>
      </c>
      <c r="I81" t="s">
        <v>39</v>
      </c>
      <c r="J81" t="s">
        <v>27</v>
      </c>
      <c r="K81" t="s">
        <v>166</v>
      </c>
      <c r="L81" t="s">
        <v>42</v>
      </c>
      <c r="M81" t="s">
        <v>30</v>
      </c>
      <c r="N81" t="s">
        <v>52</v>
      </c>
      <c r="O81">
        <v>3</v>
      </c>
      <c r="P81" t="s">
        <v>53</v>
      </c>
      <c r="Q81">
        <v>23</v>
      </c>
      <c r="R81">
        <v>114859</v>
      </c>
      <c r="S81">
        <v>1224000</v>
      </c>
      <c r="T81" s="3">
        <v>7909141</v>
      </c>
    </row>
    <row r="82" spans="1:20" x14ac:dyDescent="0.3">
      <c r="A82">
        <v>1081</v>
      </c>
      <c r="B82" t="s">
        <v>45</v>
      </c>
      <c r="C82" t="s">
        <v>21</v>
      </c>
      <c r="D82">
        <v>40</v>
      </c>
      <c r="E82" t="s">
        <v>61</v>
      </c>
      <c r="F82" t="s">
        <v>55</v>
      </c>
      <c r="G82" t="s">
        <v>47</v>
      </c>
      <c r="H82" t="s">
        <v>25</v>
      </c>
      <c r="I82" t="s">
        <v>48</v>
      </c>
      <c r="J82" t="s">
        <v>87</v>
      </c>
      <c r="K82" t="s">
        <v>167</v>
      </c>
      <c r="L82" t="s">
        <v>29</v>
      </c>
      <c r="M82" t="s">
        <v>43</v>
      </c>
      <c r="N82" t="s">
        <v>31</v>
      </c>
      <c r="O82">
        <v>5</v>
      </c>
      <c r="P82" t="s">
        <v>32</v>
      </c>
      <c r="Q82">
        <v>24</v>
      </c>
      <c r="R82">
        <v>59388</v>
      </c>
      <c r="S82">
        <v>2250000</v>
      </c>
      <c r="T82" s="3">
        <v>14690612</v>
      </c>
    </row>
    <row r="83" spans="1:20" x14ac:dyDescent="0.3">
      <c r="A83">
        <v>1082</v>
      </c>
      <c r="B83" t="s">
        <v>99</v>
      </c>
      <c r="C83" t="s">
        <v>34</v>
      </c>
      <c r="D83">
        <v>58</v>
      </c>
      <c r="E83" t="s">
        <v>68</v>
      </c>
      <c r="F83" t="s">
        <v>23</v>
      </c>
      <c r="G83" t="s">
        <v>69</v>
      </c>
      <c r="H83" t="s">
        <v>69</v>
      </c>
      <c r="I83" t="s">
        <v>26</v>
      </c>
      <c r="J83" t="s">
        <v>49</v>
      </c>
      <c r="K83" t="s">
        <v>168</v>
      </c>
      <c r="L83" t="s">
        <v>42</v>
      </c>
      <c r="M83" t="s">
        <v>51</v>
      </c>
      <c r="N83" t="s">
        <v>52</v>
      </c>
      <c r="O83">
        <v>2</v>
      </c>
      <c r="P83" t="s">
        <v>86</v>
      </c>
      <c r="Q83">
        <v>12</v>
      </c>
      <c r="R83">
        <v>122798</v>
      </c>
      <c r="S83">
        <v>846000</v>
      </c>
      <c r="T83" s="3">
        <v>5423202</v>
      </c>
    </row>
    <row r="84" spans="1:20" x14ac:dyDescent="0.3">
      <c r="A84">
        <v>1083</v>
      </c>
      <c r="B84" t="s">
        <v>101</v>
      </c>
      <c r="C84" t="s">
        <v>21</v>
      </c>
      <c r="D84">
        <v>58</v>
      </c>
      <c r="E84" t="s">
        <v>68</v>
      </c>
      <c r="F84" t="s">
        <v>55</v>
      </c>
      <c r="G84" t="s">
        <v>105</v>
      </c>
      <c r="H84" t="s">
        <v>106</v>
      </c>
      <c r="I84" t="s">
        <v>48</v>
      </c>
      <c r="J84" t="s">
        <v>87</v>
      </c>
      <c r="K84" t="s">
        <v>169</v>
      </c>
      <c r="L84" t="s">
        <v>42</v>
      </c>
      <c r="M84" t="s">
        <v>78</v>
      </c>
      <c r="N84" t="s">
        <v>31</v>
      </c>
      <c r="O84">
        <v>2</v>
      </c>
      <c r="P84" t="s">
        <v>44</v>
      </c>
      <c r="Q84">
        <v>16</v>
      </c>
      <c r="R84">
        <v>56647</v>
      </c>
      <c r="S84">
        <v>846000</v>
      </c>
      <c r="T84" s="3">
        <v>5489353</v>
      </c>
    </row>
    <row r="85" spans="1:20" x14ac:dyDescent="0.3">
      <c r="A85">
        <v>1084</v>
      </c>
      <c r="B85" t="s">
        <v>101</v>
      </c>
      <c r="C85" t="s">
        <v>21</v>
      </c>
      <c r="D85">
        <v>47</v>
      </c>
      <c r="E85" t="s">
        <v>68</v>
      </c>
      <c r="F85" t="s">
        <v>62</v>
      </c>
      <c r="G85" t="s">
        <v>24</v>
      </c>
      <c r="H85" t="s">
        <v>25</v>
      </c>
      <c r="I85" t="s">
        <v>39</v>
      </c>
      <c r="J85" t="s">
        <v>27</v>
      </c>
      <c r="K85" t="s">
        <v>170</v>
      </c>
      <c r="L85" t="s">
        <v>71</v>
      </c>
      <c r="M85" t="s">
        <v>51</v>
      </c>
      <c r="N85" t="s">
        <v>31</v>
      </c>
      <c r="O85">
        <v>5</v>
      </c>
      <c r="P85" t="s">
        <v>44</v>
      </c>
      <c r="Q85">
        <v>22</v>
      </c>
      <c r="R85">
        <v>56968</v>
      </c>
      <c r="S85">
        <v>846000</v>
      </c>
      <c r="T85" s="3">
        <v>5489032</v>
      </c>
    </row>
    <row r="86" spans="1:20" x14ac:dyDescent="0.3">
      <c r="A86">
        <v>1085</v>
      </c>
      <c r="B86" t="s">
        <v>54</v>
      </c>
      <c r="C86" t="s">
        <v>34</v>
      </c>
      <c r="D86">
        <v>40</v>
      </c>
      <c r="E86" t="s">
        <v>112</v>
      </c>
      <c r="F86" t="s">
        <v>55</v>
      </c>
      <c r="G86" t="s">
        <v>47</v>
      </c>
      <c r="H86" t="s">
        <v>25</v>
      </c>
      <c r="I86" t="s">
        <v>26</v>
      </c>
      <c r="J86" t="s">
        <v>49</v>
      </c>
      <c r="K86" t="s">
        <v>171</v>
      </c>
      <c r="L86" t="s">
        <v>59</v>
      </c>
      <c r="M86" t="s">
        <v>94</v>
      </c>
      <c r="N86" t="s">
        <v>31</v>
      </c>
      <c r="O86">
        <v>2</v>
      </c>
      <c r="P86" t="s">
        <v>53</v>
      </c>
      <c r="Q86">
        <v>24</v>
      </c>
      <c r="R86">
        <v>202161</v>
      </c>
      <c r="S86">
        <v>936000</v>
      </c>
      <c r="T86" s="3">
        <v>5933839</v>
      </c>
    </row>
    <row r="87" spans="1:20" x14ac:dyDescent="0.3">
      <c r="A87">
        <v>1086</v>
      </c>
      <c r="B87" t="s">
        <v>20</v>
      </c>
      <c r="C87" t="s">
        <v>21</v>
      </c>
      <c r="D87">
        <v>60</v>
      </c>
      <c r="E87" t="s">
        <v>73</v>
      </c>
      <c r="F87" t="s">
        <v>23</v>
      </c>
      <c r="G87" t="s">
        <v>105</v>
      </c>
      <c r="H87" t="s">
        <v>106</v>
      </c>
      <c r="I87" t="s">
        <v>39</v>
      </c>
      <c r="J87" t="s">
        <v>27</v>
      </c>
      <c r="K87" t="s">
        <v>172</v>
      </c>
      <c r="L87" t="s">
        <v>29</v>
      </c>
      <c r="M87" t="s">
        <v>43</v>
      </c>
      <c r="N87" t="s">
        <v>31</v>
      </c>
      <c r="O87">
        <v>5</v>
      </c>
      <c r="P87" t="s">
        <v>44</v>
      </c>
      <c r="Q87">
        <v>17</v>
      </c>
      <c r="R87">
        <v>122044</v>
      </c>
      <c r="S87">
        <v>1224000</v>
      </c>
      <c r="T87" s="3">
        <v>7901956</v>
      </c>
    </row>
    <row r="88" spans="1:20" x14ac:dyDescent="0.3">
      <c r="A88">
        <v>1087</v>
      </c>
      <c r="B88" t="s">
        <v>108</v>
      </c>
      <c r="C88" t="s">
        <v>34</v>
      </c>
      <c r="D88">
        <v>38</v>
      </c>
      <c r="E88" t="s">
        <v>112</v>
      </c>
      <c r="F88" t="s">
        <v>55</v>
      </c>
      <c r="G88" t="s">
        <v>24</v>
      </c>
      <c r="H88" t="s">
        <v>25</v>
      </c>
      <c r="I88" t="s">
        <v>39</v>
      </c>
      <c r="J88" t="s">
        <v>49</v>
      </c>
      <c r="K88" t="s">
        <v>173</v>
      </c>
      <c r="L88" t="s">
        <v>59</v>
      </c>
      <c r="M88" t="s">
        <v>51</v>
      </c>
      <c r="N88" t="s">
        <v>52</v>
      </c>
      <c r="O88">
        <v>2</v>
      </c>
      <c r="P88" t="s">
        <v>53</v>
      </c>
      <c r="Q88">
        <v>5</v>
      </c>
      <c r="R88">
        <v>223468</v>
      </c>
      <c r="S88">
        <v>936000</v>
      </c>
      <c r="T88" s="3">
        <v>5912532</v>
      </c>
    </row>
    <row r="89" spans="1:20" x14ac:dyDescent="0.3">
      <c r="A89">
        <v>1088</v>
      </c>
      <c r="B89" t="s">
        <v>81</v>
      </c>
      <c r="C89" t="s">
        <v>21</v>
      </c>
      <c r="D89">
        <v>40</v>
      </c>
      <c r="E89" t="s">
        <v>82</v>
      </c>
      <c r="F89" t="s">
        <v>55</v>
      </c>
      <c r="G89" t="s">
        <v>115</v>
      </c>
      <c r="H89" t="s">
        <v>106</v>
      </c>
      <c r="I89" t="s">
        <v>76</v>
      </c>
      <c r="J89" t="s">
        <v>87</v>
      </c>
      <c r="K89" t="s">
        <v>159</v>
      </c>
      <c r="L89" t="s">
        <v>42</v>
      </c>
      <c r="M89" t="s">
        <v>51</v>
      </c>
      <c r="N89" t="s">
        <v>31</v>
      </c>
      <c r="O89">
        <v>4</v>
      </c>
      <c r="P89" t="s">
        <v>44</v>
      </c>
      <c r="Q89">
        <v>7</v>
      </c>
      <c r="R89">
        <v>254653</v>
      </c>
      <c r="S89">
        <v>1098000</v>
      </c>
      <c r="T89" s="3">
        <v>6943347</v>
      </c>
    </row>
    <row r="90" spans="1:20" x14ac:dyDescent="0.3">
      <c r="A90">
        <v>1089</v>
      </c>
      <c r="B90" t="s">
        <v>45</v>
      </c>
      <c r="C90" t="s">
        <v>34</v>
      </c>
      <c r="D90">
        <v>44</v>
      </c>
      <c r="E90" t="s">
        <v>61</v>
      </c>
      <c r="F90" t="s">
        <v>23</v>
      </c>
      <c r="G90" t="s">
        <v>47</v>
      </c>
      <c r="H90" t="s">
        <v>25</v>
      </c>
      <c r="I90" t="s">
        <v>39</v>
      </c>
      <c r="J90" t="s">
        <v>49</v>
      </c>
      <c r="K90" t="s">
        <v>174</v>
      </c>
      <c r="L90" t="s">
        <v>71</v>
      </c>
      <c r="M90" t="s">
        <v>43</v>
      </c>
      <c r="N90" t="s">
        <v>52</v>
      </c>
      <c r="O90">
        <v>2</v>
      </c>
      <c r="P90" t="s">
        <v>53</v>
      </c>
      <c r="Q90">
        <v>5</v>
      </c>
      <c r="R90">
        <v>211713</v>
      </c>
      <c r="S90">
        <v>2250000</v>
      </c>
      <c r="T90" s="3">
        <v>14538287</v>
      </c>
    </row>
    <row r="91" spans="1:20" x14ac:dyDescent="0.3">
      <c r="A91">
        <v>1090</v>
      </c>
      <c r="B91" t="s">
        <v>101</v>
      </c>
      <c r="C91" t="s">
        <v>34</v>
      </c>
      <c r="D91">
        <v>44</v>
      </c>
      <c r="E91" t="s">
        <v>35</v>
      </c>
      <c r="F91" t="s">
        <v>62</v>
      </c>
      <c r="G91" t="s">
        <v>91</v>
      </c>
      <c r="H91" t="s">
        <v>25</v>
      </c>
      <c r="I91" t="s">
        <v>97</v>
      </c>
      <c r="J91" t="s">
        <v>27</v>
      </c>
      <c r="K91" t="s">
        <v>175</v>
      </c>
      <c r="L91" t="s">
        <v>42</v>
      </c>
      <c r="M91" t="s">
        <v>94</v>
      </c>
      <c r="N91" t="s">
        <v>52</v>
      </c>
      <c r="O91">
        <v>4</v>
      </c>
      <c r="P91" t="s">
        <v>86</v>
      </c>
      <c r="Q91">
        <v>6</v>
      </c>
      <c r="R91">
        <v>174466</v>
      </c>
      <c r="S91">
        <v>1764000</v>
      </c>
      <c r="T91" s="3">
        <v>11389534</v>
      </c>
    </row>
    <row r="92" spans="1:20" x14ac:dyDescent="0.3">
      <c r="A92">
        <v>1091</v>
      </c>
      <c r="B92" t="s">
        <v>67</v>
      </c>
      <c r="C92" t="s">
        <v>21</v>
      </c>
      <c r="D92">
        <v>50</v>
      </c>
      <c r="E92" t="s">
        <v>35</v>
      </c>
      <c r="F92" t="s">
        <v>62</v>
      </c>
      <c r="G92" t="s">
        <v>105</v>
      </c>
      <c r="H92" t="s">
        <v>106</v>
      </c>
      <c r="I92" t="s">
        <v>76</v>
      </c>
      <c r="J92" t="s">
        <v>49</v>
      </c>
      <c r="K92" t="s">
        <v>176</v>
      </c>
      <c r="L92" t="s">
        <v>66</v>
      </c>
      <c r="M92" t="s">
        <v>30</v>
      </c>
      <c r="N92" t="s">
        <v>52</v>
      </c>
      <c r="O92">
        <v>2</v>
      </c>
      <c r="P92" t="s">
        <v>53</v>
      </c>
      <c r="Q92">
        <v>16</v>
      </c>
      <c r="R92">
        <v>195100</v>
      </c>
      <c r="S92">
        <v>1764000</v>
      </c>
      <c r="T92" s="3">
        <v>11368900</v>
      </c>
    </row>
    <row r="93" spans="1:20" x14ac:dyDescent="0.3">
      <c r="A93">
        <v>1092</v>
      </c>
      <c r="B93" t="s">
        <v>99</v>
      </c>
      <c r="C93" t="s">
        <v>21</v>
      </c>
      <c r="D93">
        <v>27</v>
      </c>
      <c r="E93" t="s">
        <v>46</v>
      </c>
      <c r="F93" t="s">
        <v>55</v>
      </c>
      <c r="G93" t="s">
        <v>63</v>
      </c>
      <c r="H93" t="s">
        <v>64</v>
      </c>
      <c r="I93" t="s">
        <v>39</v>
      </c>
      <c r="J93" t="s">
        <v>27</v>
      </c>
      <c r="K93" t="s">
        <v>177</v>
      </c>
      <c r="L93" t="s">
        <v>42</v>
      </c>
      <c r="M93" t="s">
        <v>30</v>
      </c>
      <c r="N93" t="s">
        <v>31</v>
      </c>
      <c r="O93">
        <v>2</v>
      </c>
      <c r="P93" t="s">
        <v>86</v>
      </c>
      <c r="Q93">
        <v>25</v>
      </c>
      <c r="R93">
        <v>96394</v>
      </c>
      <c r="S93">
        <v>5760000</v>
      </c>
      <c r="T93" s="3">
        <v>37663606</v>
      </c>
    </row>
    <row r="94" spans="1:20" x14ac:dyDescent="0.3">
      <c r="A94">
        <v>1093</v>
      </c>
      <c r="B94" t="s">
        <v>54</v>
      </c>
      <c r="C94" t="s">
        <v>21</v>
      </c>
      <c r="D94">
        <v>37</v>
      </c>
      <c r="E94" t="s">
        <v>61</v>
      </c>
      <c r="F94" t="s">
        <v>23</v>
      </c>
      <c r="G94" t="s">
        <v>74</v>
      </c>
      <c r="H94" t="s">
        <v>75</v>
      </c>
      <c r="I94" t="s">
        <v>26</v>
      </c>
      <c r="J94" t="s">
        <v>40</v>
      </c>
      <c r="K94" t="s">
        <v>178</v>
      </c>
      <c r="L94" t="s">
        <v>71</v>
      </c>
      <c r="M94" t="s">
        <v>78</v>
      </c>
      <c r="N94" t="s">
        <v>52</v>
      </c>
      <c r="O94">
        <v>4</v>
      </c>
      <c r="P94" t="s">
        <v>53</v>
      </c>
      <c r="Q94">
        <v>9</v>
      </c>
      <c r="R94">
        <v>232470</v>
      </c>
      <c r="S94">
        <v>2250000</v>
      </c>
      <c r="T94" s="3">
        <v>14517530</v>
      </c>
    </row>
    <row r="95" spans="1:20" x14ac:dyDescent="0.3">
      <c r="A95">
        <v>1094</v>
      </c>
      <c r="B95" t="s">
        <v>45</v>
      </c>
      <c r="C95" t="s">
        <v>21</v>
      </c>
      <c r="D95">
        <v>57</v>
      </c>
      <c r="E95" t="s">
        <v>112</v>
      </c>
      <c r="F95" t="s">
        <v>36</v>
      </c>
      <c r="G95" t="s">
        <v>91</v>
      </c>
      <c r="H95" t="s">
        <v>25</v>
      </c>
      <c r="I95" t="s">
        <v>76</v>
      </c>
      <c r="J95" t="s">
        <v>40</v>
      </c>
      <c r="K95" t="s">
        <v>179</v>
      </c>
      <c r="L95" t="s">
        <v>66</v>
      </c>
      <c r="M95" t="s">
        <v>43</v>
      </c>
      <c r="N95" t="s">
        <v>31</v>
      </c>
      <c r="O95">
        <v>3</v>
      </c>
      <c r="P95" t="s">
        <v>44</v>
      </c>
      <c r="Q95">
        <v>7</v>
      </c>
      <c r="R95">
        <v>202985</v>
      </c>
      <c r="S95">
        <v>936000</v>
      </c>
      <c r="T95" s="3">
        <v>5933015</v>
      </c>
    </row>
    <row r="96" spans="1:20" x14ac:dyDescent="0.3">
      <c r="A96">
        <v>1095</v>
      </c>
      <c r="B96" t="s">
        <v>104</v>
      </c>
      <c r="C96" t="s">
        <v>21</v>
      </c>
      <c r="D96">
        <v>39</v>
      </c>
      <c r="E96" t="s">
        <v>82</v>
      </c>
      <c r="F96" t="s">
        <v>23</v>
      </c>
      <c r="G96" t="s">
        <v>91</v>
      </c>
      <c r="H96" t="s">
        <v>25</v>
      </c>
      <c r="I96" t="s">
        <v>26</v>
      </c>
      <c r="J96" t="s">
        <v>87</v>
      </c>
      <c r="K96" t="s">
        <v>161</v>
      </c>
      <c r="L96" t="s">
        <v>66</v>
      </c>
      <c r="M96" t="s">
        <v>30</v>
      </c>
      <c r="N96" t="s">
        <v>52</v>
      </c>
      <c r="O96">
        <v>2</v>
      </c>
      <c r="P96" t="s">
        <v>53</v>
      </c>
      <c r="Q96">
        <v>7</v>
      </c>
      <c r="R96">
        <v>125360</v>
      </c>
      <c r="S96">
        <v>1098000</v>
      </c>
      <c r="T96" s="3">
        <v>7072640</v>
      </c>
    </row>
    <row r="97" spans="1:20" x14ac:dyDescent="0.3">
      <c r="A97">
        <v>1096</v>
      </c>
      <c r="B97" t="s">
        <v>99</v>
      </c>
      <c r="C97" t="s">
        <v>34</v>
      </c>
      <c r="D97">
        <v>37</v>
      </c>
      <c r="E97" t="s">
        <v>90</v>
      </c>
      <c r="F97" t="s">
        <v>36</v>
      </c>
      <c r="G97" t="s">
        <v>91</v>
      </c>
      <c r="H97" t="s">
        <v>25</v>
      </c>
      <c r="I97" t="s">
        <v>48</v>
      </c>
      <c r="J97" t="s">
        <v>87</v>
      </c>
      <c r="K97" t="s">
        <v>180</v>
      </c>
      <c r="L97" t="s">
        <v>66</v>
      </c>
      <c r="M97" t="s">
        <v>51</v>
      </c>
      <c r="N97" t="s">
        <v>31</v>
      </c>
      <c r="O97">
        <v>4</v>
      </c>
      <c r="P97" t="s">
        <v>44</v>
      </c>
      <c r="Q97">
        <v>20</v>
      </c>
      <c r="R97">
        <v>91231</v>
      </c>
      <c r="S97">
        <v>702000</v>
      </c>
      <c r="T97" s="3">
        <v>4510769</v>
      </c>
    </row>
    <row r="98" spans="1:20" x14ac:dyDescent="0.3">
      <c r="A98">
        <v>1097</v>
      </c>
      <c r="B98" t="s">
        <v>72</v>
      </c>
      <c r="C98" t="s">
        <v>21</v>
      </c>
      <c r="D98">
        <v>36</v>
      </c>
      <c r="E98" t="s">
        <v>68</v>
      </c>
      <c r="F98" t="s">
        <v>23</v>
      </c>
      <c r="G98" t="s">
        <v>37</v>
      </c>
      <c r="H98" t="s">
        <v>38</v>
      </c>
      <c r="I98" t="s">
        <v>26</v>
      </c>
      <c r="J98" t="s">
        <v>49</v>
      </c>
      <c r="K98" t="s">
        <v>181</v>
      </c>
      <c r="L98" t="s">
        <v>71</v>
      </c>
      <c r="M98" t="s">
        <v>30</v>
      </c>
      <c r="N98" t="s">
        <v>52</v>
      </c>
      <c r="O98">
        <v>2</v>
      </c>
      <c r="P98" t="s">
        <v>32</v>
      </c>
      <c r="Q98">
        <v>17</v>
      </c>
      <c r="R98">
        <v>154885</v>
      </c>
      <c r="S98">
        <v>846000</v>
      </c>
      <c r="T98" s="3">
        <v>5391115</v>
      </c>
    </row>
    <row r="99" spans="1:20" x14ac:dyDescent="0.3">
      <c r="A99">
        <v>1098</v>
      </c>
      <c r="B99" t="s">
        <v>54</v>
      </c>
      <c r="C99" t="s">
        <v>21</v>
      </c>
      <c r="D99">
        <v>48</v>
      </c>
      <c r="E99" t="s">
        <v>82</v>
      </c>
      <c r="F99" t="s">
        <v>62</v>
      </c>
      <c r="G99" t="s">
        <v>63</v>
      </c>
      <c r="H99" t="s">
        <v>64</v>
      </c>
      <c r="I99" t="s">
        <v>39</v>
      </c>
      <c r="J99" t="s">
        <v>49</v>
      </c>
      <c r="K99" t="s">
        <v>111</v>
      </c>
      <c r="L99" t="s">
        <v>42</v>
      </c>
      <c r="M99" t="s">
        <v>30</v>
      </c>
      <c r="N99" t="s">
        <v>52</v>
      </c>
      <c r="O99">
        <v>2</v>
      </c>
      <c r="P99" t="s">
        <v>32</v>
      </c>
      <c r="Q99">
        <v>23</v>
      </c>
      <c r="R99">
        <v>288990</v>
      </c>
      <c r="S99">
        <v>1098000</v>
      </c>
      <c r="T99" s="3">
        <v>6909010</v>
      </c>
    </row>
    <row r="100" spans="1:20" x14ac:dyDescent="0.3">
      <c r="A100">
        <v>1099</v>
      </c>
      <c r="B100" t="s">
        <v>108</v>
      </c>
      <c r="C100" t="s">
        <v>34</v>
      </c>
      <c r="D100">
        <v>60</v>
      </c>
      <c r="E100" t="s">
        <v>61</v>
      </c>
      <c r="F100" t="s">
        <v>55</v>
      </c>
      <c r="G100" t="s">
        <v>47</v>
      </c>
      <c r="H100" t="s">
        <v>25</v>
      </c>
      <c r="I100" t="s">
        <v>76</v>
      </c>
      <c r="J100" t="s">
        <v>40</v>
      </c>
      <c r="K100" t="s">
        <v>182</v>
      </c>
      <c r="L100" t="s">
        <v>66</v>
      </c>
      <c r="M100" t="s">
        <v>94</v>
      </c>
      <c r="N100" t="s">
        <v>31</v>
      </c>
      <c r="O100">
        <v>5</v>
      </c>
      <c r="P100" t="s">
        <v>44</v>
      </c>
      <c r="Q100">
        <v>17</v>
      </c>
      <c r="R100">
        <v>261790</v>
      </c>
      <c r="S100">
        <v>2250000</v>
      </c>
      <c r="T100" s="3">
        <v>14488210</v>
      </c>
    </row>
    <row r="101" spans="1:20" x14ac:dyDescent="0.3">
      <c r="A101">
        <v>1100</v>
      </c>
      <c r="B101" t="s">
        <v>79</v>
      </c>
      <c r="C101" t="s">
        <v>21</v>
      </c>
      <c r="D101">
        <v>58</v>
      </c>
      <c r="E101" t="s">
        <v>90</v>
      </c>
      <c r="F101" t="s">
        <v>55</v>
      </c>
      <c r="G101" t="s">
        <v>47</v>
      </c>
      <c r="H101" t="s">
        <v>25</v>
      </c>
      <c r="I101" t="s">
        <v>97</v>
      </c>
      <c r="J101" t="s">
        <v>40</v>
      </c>
      <c r="K101" t="s">
        <v>183</v>
      </c>
      <c r="L101" t="s">
        <v>66</v>
      </c>
      <c r="M101" t="s">
        <v>78</v>
      </c>
      <c r="N101" t="s">
        <v>52</v>
      </c>
      <c r="O101">
        <v>3</v>
      </c>
      <c r="P101" t="s">
        <v>44</v>
      </c>
      <c r="Q101">
        <v>25</v>
      </c>
      <c r="R101">
        <v>142915</v>
      </c>
      <c r="S101">
        <v>702000</v>
      </c>
      <c r="T101" s="3">
        <v>4459085</v>
      </c>
    </row>
    <row r="102" spans="1:20" x14ac:dyDescent="0.3">
      <c r="A102">
        <v>1101</v>
      </c>
      <c r="B102" t="s">
        <v>45</v>
      </c>
      <c r="C102" t="s">
        <v>34</v>
      </c>
      <c r="D102">
        <v>27</v>
      </c>
      <c r="E102" t="s">
        <v>118</v>
      </c>
      <c r="F102" t="s">
        <v>62</v>
      </c>
      <c r="G102" t="s">
        <v>91</v>
      </c>
      <c r="H102" t="s">
        <v>25</v>
      </c>
      <c r="I102" t="s">
        <v>97</v>
      </c>
      <c r="J102" t="s">
        <v>49</v>
      </c>
      <c r="K102" t="s">
        <v>184</v>
      </c>
      <c r="L102" t="s">
        <v>66</v>
      </c>
      <c r="M102" t="s">
        <v>30</v>
      </c>
      <c r="N102" t="s">
        <v>31</v>
      </c>
      <c r="O102">
        <v>3</v>
      </c>
      <c r="P102" t="s">
        <v>53</v>
      </c>
      <c r="Q102">
        <v>7</v>
      </c>
      <c r="R102">
        <v>171839</v>
      </c>
      <c r="S102">
        <v>1350000</v>
      </c>
      <c r="T102" s="3">
        <v>8678161</v>
      </c>
    </row>
    <row r="103" spans="1:20" x14ac:dyDescent="0.3">
      <c r="A103">
        <v>1102</v>
      </c>
      <c r="B103" t="s">
        <v>99</v>
      </c>
      <c r="C103" t="s">
        <v>21</v>
      </c>
      <c r="D103">
        <v>28</v>
      </c>
      <c r="E103" t="s">
        <v>68</v>
      </c>
      <c r="F103" t="s">
        <v>23</v>
      </c>
      <c r="G103" t="s">
        <v>24</v>
      </c>
      <c r="H103" t="s">
        <v>25</v>
      </c>
      <c r="I103" t="s">
        <v>76</v>
      </c>
      <c r="J103" t="s">
        <v>49</v>
      </c>
      <c r="K103" t="s">
        <v>185</v>
      </c>
      <c r="L103" t="s">
        <v>29</v>
      </c>
      <c r="M103" t="s">
        <v>94</v>
      </c>
      <c r="N103" t="s">
        <v>31</v>
      </c>
      <c r="O103">
        <v>5</v>
      </c>
      <c r="P103" t="s">
        <v>86</v>
      </c>
      <c r="Q103">
        <v>8</v>
      </c>
      <c r="R103">
        <v>274381</v>
      </c>
      <c r="S103">
        <v>846000</v>
      </c>
      <c r="T103" s="3">
        <v>5271619</v>
      </c>
    </row>
    <row r="104" spans="1:20" x14ac:dyDescent="0.3">
      <c r="A104">
        <v>1103</v>
      </c>
      <c r="B104" t="s">
        <v>99</v>
      </c>
      <c r="C104" t="s">
        <v>34</v>
      </c>
      <c r="D104">
        <v>56</v>
      </c>
      <c r="E104" t="s">
        <v>73</v>
      </c>
      <c r="F104" t="s">
        <v>23</v>
      </c>
      <c r="G104" t="s">
        <v>63</v>
      </c>
      <c r="H104" t="s">
        <v>64</v>
      </c>
      <c r="I104" t="s">
        <v>76</v>
      </c>
      <c r="J104" t="s">
        <v>40</v>
      </c>
      <c r="K104" t="s">
        <v>50</v>
      </c>
      <c r="L104" t="s">
        <v>66</v>
      </c>
      <c r="M104" t="s">
        <v>51</v>
      </c>
      <c r="N104" t="s">
        <v>52</v>
      </c>
      <c r="O104">
        <v>5</v>
      </c>
      <c r="P104" t="s">
        <v>53</v>
      </c>
      <c r="Q104">
        <v>19</v>
      </c>
      <c r="R104">
        <v>209331</v>
      </c>
      <c r="S104">
        <v>1224000</v>
      </c>
      <c r="T104" s="3">
        <v>7814669</v>
      </c>
    </row>
    <row r="105" spans="1:20" x14ac:dyDescent="0.3">
      <c r="A105">
        <v>1104</v>
      </c>
      <c r="B105" t="s">
        <v>20</v>
      </c>
      <c r="C105" t="s">
        <v>34</v>
      </c>
      <c r="D105">
        <v>46</v>
      </c>
      <c r="E105" t="s">
        <v>73</v>
      </c>
      <c r="F105" t="s">
        <v>23</v>
      </c>
      <c r="G105" t="s">
        <v>91</v>
      </c>
      <c r="H105" t="s">
        <v>25</v>
      </c>
      <c r="I105" t="s">
        <v>26</v>
      </c>
      <c r="J105" t="s">
        <v>87</v>
      </c>
      <c r="K105" t="s">
        <v>186</v>
      </c>
      <c r="L105" t="s">
        <v>59</v>
      </c>
      <c r="M105" t="s">
        <v>51</v>
      </c>
      <c r="N105" t="s">
        <v>31</v>
      </c>
      <c r="O105">
        <v>4</v>
      </c>
      <c r="P105" t="s">
        <v>53</v>
      </c>
      <c r="Q105">
        <v>25</v>
      </c>
      <c r="R105">
        <v>193743</v>
      </c>
      <c r="S105">
        <v>1224000</v>
      </c>
      <c r="T105" s="3">
        <v>7830257</v>
      </c>
    </row>
    <row r="106" spans="1:20" x14ac:dyDescent="0.3">
      <c r="A106">
        <v>1105</v>
      </c>
      <c r="B106" t="s">
        <v>67</v>
      </c>
      <c r="C106" t="s">
        <v>21</v>
      </c>
      <c r="D106">
        <v>59</v>
      </c>
      <c r="E106" t="s">
        <v>90</v>
      </c>
      <c r="F106" t="s">
        <v>62</v>
      </c>
      <c r="G106" t="s">
        <v>69</v>
      </c>
      <c r="H106" t="s">
        <v>69</v>
      </c>
      <c r="I106" t="s">
        <v>26</v>
      </c>
      <c r="J106" t="s">
        <v>40</v>
      </c>
      <c r="K106" t="s">
        <v>187</v>
      </c>
      <c r="L106" t="s">
        <v>59</v>
      </c>
      <c r="M106" t="s">
        <v>78</v>
      </c>
      <c r="N106" t="s">
        <v>31</v>
      </c>
      <c r="O106">
        <v>5</v>
      </c>
      <c r="P106" t="s">
        <v>44</v>
      </c>
      <c r="Q106">
        <v>10</v>
      </c>
      <c r="R106">
        <v>81867</v>
      </c>
      <c r="S106">
        <v>702000</v>
      </c>
      <c r="T106" s="3">
        <v>4520133</v>
      </c>
    </row>
    <row r="107" spans="1:20" x14ac:dyDescent="0.3">
      <c r="A107">
        <v>1106</v>
      </c>
      <c r="B107" t="s">
        <v>67</v>
      </c>
      <c r="C107" t="s">
        <v>21</v>
      </c>
      <c r="D107">
        <v>28</v>
      </c>
      <c r="E107" t="s">
        <v>112</v>
      </c>
      <c r="F107" t="s">
        <v>62</v>
      </c>
      <c r="G107" t="s">
        <v>105</v>
      </c>
      <c r="H107" t="s">
        <v>106</v>
      </c>
      <c r="I107" t="s">
        <v>48</v>
      </c>
      <c r="J107" t="s">
        <v>87</v>
      </c>
      <c r="K107" t="s">
        <v>188</v>
      </c>
      <c r="L107" t="s">
        <v>42</v>
      </c>
      <c r="M107" t="s">
        <v>78</v>
      </c>
      <c r="N107" t="s">
        <v>52</v>
      </c>
      <c r="O107">
        <v>3</v>
      </c>
      <c r="P107" t="s">
        <v>86</v>
      </c>
      <c r="Q107">
        <v>24</v>
      </c>
      <c r="R107">
        <v>249852</v>
      </c>
      <c r="S107">
        <v>936000</v>
      </c>
      <c r="T107" s="3">
        <v>5886148</v>
      </c>
    </row>
    <row r="108" spans="1:20" x14ac:dyDescent="0.3">
      <c r="A108">
        <v>1107</v>
      </c>
      <c r="B108" t="s">
        <v>81</v>
      </c>
      <c r="C108" t="s">
        <v>21</v>
      </c>
      <c r="D108">
        <v>41</v>
      </c>
      <c r="E108" t="s">
        <v>112</v>
      </c>
      <c r="F108" t="s">
        <v>23</v>
      </c>
      <c r="G108" t="s">
        <v>56</v>
      </c>
      <c r="H108" t="s">
        <v>57</v>
      </c>
      <c r="I108" t="s">
        <v>97</v>
      </c>
      <c r="J108" t="s">
        <v>40</v>
      </c>
      <c r="K108" t="s">
        <v>189</v>
      </c>
      <c r="L108" t="s">
        <v>29</v>
      </c>
      <c r="M108" t="s">
        <v>43</v>
      </c>
      <c r="N108" t="s">
        <v>52</v>
      </c>
      <c r="O108">
        <v>2</v>
      </c>
      <c r="P108" t="s">
        <v>44</v>
      </c>
      <c r="Q108">
        <v>23</v>
      </c>
      <c r="R108">
        <v>149499</v>
      </c>
      <c r="S108">
        <v>936000</v>
      </c>
      <c r="T108" s="3">
        <v>5986501</v>
      </c>
    </row>
    <row r="109" spans="1:20" x14ac:dyDescent="0.3">
      <c r="A109">
        <v>1108</v>
      </c>
      <c r="B109" t="s">
        <v>104</v>
      </c>
      <c r="C109" t="s">
        <v>34</v>
      </c>
      <c r="D109">
        <v>53</v>
      </c>
      <c r="E109" t="s">
        <v>35</v>
      </c>
      <c r="F109" t="s">
        <v>55</v>
      </c>
      <c r="G109" t="s">
        <v>115</v>
      </c>
      <c r="H109" t="s">
        <v>106</v>
      </c>
      <c r="I109" t="s">
        <v>76</v>
      </c>
      <c r="J109" t="s">
        <v>27</v>
      </c>
      <c r="K109" t="s">
        <v>190</v>
      </c>
      <c r="L109" t="s">
        <v>29</v>
      </c>
      <c r="M109" t="s">
        <v>51</v>
      </c>
      <c r="N109" t="s">
        <v>52</v>
      </c>
      <c r="O109">
        <v>4</v>
      </c>
      <c r="P109" t="s">
        <v>86</v>
      </c>
      <c r="Q109">
        <v>11</v>
      </c>
      <c r="R109">
        <v>122251</v>
      </c>
      <c r="S109">
        <v>1764000</v>
      </c>
      <c r="T109" s="3">
        <v>11441749</v>
      </c>
    </row>
    <row r="110" spans="1:20" x14ac:dyDescent="0.3">
      <c r="A110">
        <v>1109</v>
      </c>
      <c r="B110" t="s">
        <v>45</v>
      </c>
      <c r="C110" t="s">
        <v>34</v>
      </c>
      <c r="D110">
        <v>30</v>
      </c>
      <c r="E110" t="s">
        <v>35</v>
      </c>
      <c r="F110" t="s">
        <v>55</v>
      </c>
      <c r="G110" t="s">
        <v>63</v>
      </c>
      <c r="H110" t="s">
        <v>64</v>
      </c>
      <c r="I110" t="s">
        <v>48</v>
      </c>
      <c r="J110" t="s">
        <v>49</v>
      </c>
      <c r="K110" t="s">
        <v>191</v>
      </c>
      <c r="L110" t="s">
        <v>66</v>
      </c>
      <c r="M110" t="s">
        <v>30</v>
      </c>
      <c r="N110" t="s">
        <v>31</v>
      </c>
      <c r="O110">
        <v>3</v>
      </c>
      <c r="P110" t="s">
        <v>44</v>
      </c>
      <c r="Q110">
        <v>6</v>
      </c>
      <c r="R110">
        <v>115371</v>
      </c>
      <c r="S110">
        <v>1764000</v>
      </c>
      <c r="T110" s="3">
        <v>11448629</v>
      </c>
    </row>
    <row r="111" spans="1:20" x14ac:dyDescent="0.3">
      <c r="A111">
        <v>1110</v>
      </c>
      <c r="B111" t="s">
        <v>81</v>
      </c>
      <c r="C111" t="s">
        <v>34</v>
      </c>
      <c r="D111">
        <v>31</v>
      </c>
      <c r="E111" t="s">
        <v>112</v>
      </c>
      <c r="F111" t="s">
        <v>55</v>
      </c>
      <c r="G111" t="s">
        <v>74</v>
      </c>
      <c r="H111" t="s">
        <v>75</v>
      </c>
      <c r="I111" t="s">
        <v>97</v>
      </c>
      <c r="J111" t="s">
        <v>49</v>
      </c>
      <c r="K111" t="s">
        <v>192</v>
      </c>
      <c r="L111" t="s">
        <v>66</v>
      </c>
      <c r="M111" t="s">
        <v>30</v>
      </c>
      <c r="N111" t="s">
        <v>52</v>
      </c>
      <c r="O111">
        <v>5</v>
      </c>
      <c r="P111" t="s">
        <v>44</v>
      </c>
      <c r="Q111">
        <v>23</v>
      </c>
      <c r="R111">
        <v>71674</v>
      </c>
      <c r="S111">
        <v>936000</v>
      </c>
      <c r="T111" s="3">
        <v>6064326</v>
      </c>
    </row>
    <row r="112" spans="1:20" x14ac:dyDescent="0.3">
      <c r="A112">
        <v>1111</v>
      </c>
      <c r="B112" t="s">
        <v>99</v>
      </c>
      <c r="C112" t="s">
        <v>21</v>
      </c>
      <c r="D112">
        <v>31</v>
      </c>
      <c r="E112" t="s">
        <v>73</v>
      </c>
      <c r="F112" t="s">
        <v>55</v>
      </c>
      <c r="G112" t="s">
        <v>47</v>
      </c>
      <c r="H112" t="s">
        <v>25</v>
      </c>
      <c r="I112" t="s">
        <v>97</v>
      </c>
      <c r="J112" t="s">
        <v>27</v>
      </c>
      <c r="K112" t="s">
        <v>193</v>
      </c>
      <c r="L112" t="s">
        <v>59</v>
      </c>
      <c r="M112" t="s">
        <v>51</v>
      </c>
      <c r="N112" t="s">
        <v>52</v>
      </c>
      <c r="O112">
        <v>4</v>
      </c>
      <c r="P112" t="s">
        <v>44</v>
      </c>
      <c r="Q112">
        <v>19</v>
      </c>
      <c r="R112">
        <v>295396</v>
      </c>
      <c r="S112">
        <v>1224000</v>
      </c>
      <c r="T112" s="3">
        <v>7728604</v>
      </c>
    </row>
    <row r="113" spans="1:20" x14ac:dyDescent="0.3">
      <c r="A113">
        <v>1112</v>
      </c>
      <c r="B113" t="s">
        <v>54</v>
      </c>
      <c r="C113" t="s">
        <v>34</v>
      </c>
      <c r="D113">
        <v>29</v>
      </c>
      <c r="E113" t="s">
        <v>90</v>
      </c>
      <c r="F113" t="s">
        <v>62</v>
      </c>
      <c r="G113" t="s">
        <v>56</v>
      </c>
      <c r="H113" t="s">
        <v>57</v>
      </c>
      <c r="I113" t="s">
        <v>76</v>
      </c>
      <c r="J113" t="s">
        <v>40</v>
      </c>
      <c r="K113" t="s">
        <v>194</v>
      </c>
      <c r="L113" t="s">
        <v>71</v>
      </c>
      <c r="M113" t="s">
        <v>51</v>
      </c>
      <c r="N113" t="s">
        <v>31</v>
      </c>
      <c r="O113">
        <v>3</v>
      </c>
      <c r="P113" t="s">
        <v>44</v>
      </c>
      <c r="Q113">
        <v>14</v>
      </c>
      <c r="R113">
        <v>260635</v>
      </c>
      <c r="S113">
        <v>702000</v>
      </c>
      <c r="T113" s="3">
        <v>4341365</v>
      </c>
    </row>
    <row r="114" spans="1:20" x14ac:dyDescent="0.3">
      <c r="A114">
        <v>1113</v>
      </c>
      <c r="B114" t="s">
        <v>81</v>
      </c>
      <c r="C114" t="s">
        <v>21</v>
      </c>
      <c r="D114">
        <v>41</v>
      </c>
      <c r="E114" t="s">
        <v>90</v>
      </c>
      <c r="F114" t="s">
        <v>62</v>
      </c>
      <c r="G114" t="s">
        <v>105</v>
      </c>
      <c r="H114" t="s">
        <v>106</v>
      </c>
      <c r="I114" t="s">
        <v>76</v>
      </c>
      <c r="J114" t="s">
        <v>40</v>
      </c>
      <c r="K114" t="s">
        <v>70</v>
      </c>
      <c r="L114" t="s">
        <v>59</v>
      </c>
      <c r="M114" t="s">
        <v>51</v>
      </c>
      <c r="N114" t="s">
        <v>52</v>
      </c>
      <c r="O114">
        <v>4</v>
      </c>
      <c r="P114" t="s">
        <v>53</v>
      </c>
      <c r="Q114">
        <v>20</v>
      </c>
      <c r="R114">
        <v>143853</v>
      </c>
      <c r="S114">
        <v>702000</v>
      </c>
      <c r="T114" s="3">
        <v>4458147</v>
      </c>
    </row>
    <row r="115" spans="1:20" x14ac:dyDescent="0.3">
      <c r="A115">
        <v>1114</v>
      </c>
      <c r="B115" t="s">
        <v>108</v>
      </c>
      <c r="C115" t="s">
        <v>21</v>
      </c>
      <c r="D115">
        <v>29</v>
      </c>
      <c r="E115" t="s">
        <v>112</v>
      </c>
      <c r="F115" t="s">
        <v>62</v>
      </c>
      <c r="G115" t="s">
        <v>47</v>
      </c>
      <c r="H115" t="s">
        <v>25</v>
      </c>
      <c r="I115" t="s">
        <v>76</v>
      </c>
      <c r="J115" t="s">
        <v>27</v>
      </c>
      <c r="K115" t="s">
        <v>195</v>
      </c>
      <c r="L115" t="s">
        <v>42</v>
      </c>
      <c r="M115" t="s">
        <v>30</v>
      </c>
      <c r="N115" t="s">
        <v>31</v>
      </c>
      <c r="O115">
        <v>2</v>
      </c>
      <c r="P115" t="s">
        <v>53</v>
      </c>
      <c r="Q115">
        <v>15</v>
      </c>
      <c r="R115">
        <v>198759</v>
      </c>
      <c r="S115">
        <v>936000</v>
      </c>
      <c r="T115" s="3">
        <v>5937241</v>
      </c>
    </row>
    <row r="116" spans="1:20" x14ac:dyDescent="0.3">
      <c r="A116">
        <v>1115</v>
      </c>
      <c r="B116" t="s">
        <v>60</v>
      </c>
      <c r="C116" t="s">
        <v>34</v>
      </c>
      <c r="D116">
        <v>59</v>
      </c>
      <c r="E116" t="s">
        <v>112</v>
      </c>
      <c r="F116" t="s">
        <v>36</v>
      </c>
      <c r="G116" t="s">
        <v>24</v>
      </c>
      <c r="H116" t="s">
        <v>25</v>
      </c>
      <c r="I116" t="s">
        <v>48</v>
      </c>
      <c r="J116" t="s">
        <v>87</v>
      </c>
      <c r="K116" t="s">
        <v>196</v>
      </c>
      <c r="L116" t="s">
        <v>59</v>
      </c>
      <c r="M116" t="s">
        <v>51</v>
      </c>
      <c r="N116" t="s">
        <v>31</v>
      </c>
      <c r="O116">
        <v>5</v>
      </c>
      <c r="P116" t="s">
        <v>86</v>
      </c>
      <c r="Q116">
        <v>7</v>
      </c>
      <c r="R116">
        <v>299704</v>
      </c>
      <c r="S116">
        <v>936000</v>
      </c>
      <c r="T116" s="3">
        <v>5836296</v>
      </c>
    </row>
    <row r="117" spans="1:20" x14ac:dyDescent="0.3">
      <c r="A117">
        <v>1116</v>
      </c>
      <c r="B117" t="s">
        <v>81</v>
      </c>
      <c r="C117" t="s">
        <v>21</v>
      </c>
      <c r="D117">
        <v>47</v>
      </c>
      <c r="E117" t="s">
        <v>73</v>
      </c>
      <c r="F117" t="s">
        <v>62</v>
      </c>
      <c r="G117" t="s">
        <v>115</v>
      </c>
      <c r="H117" t="s">
        <v>106</v>
      </c>
      <c r="I117" t="s">
        <v>26</v>
      </c>
      <c r="J117" t="s">
        <v>40</v>
      </c>
      <c r="K117" t="s">
        <v>197</v>
      </c>
      <c r="L117" t="s">
        <v>66</v>
      </c>
      <c r="M117" t="s">
        <v>30</v>
      </c>
      <c r="N117" t="s">
        <v>52</v>
      </c>
      <c r="O117">
        <v>2</v>
      </c>
      <c r="P117" t="s">
        <v>86</v>
      </c>
      <c r="Q117">
        <v>21</v>
      </c>
      <c r="R117">
        <v>166083</v>
      </c>
      <c r="S117">
        <v>1224000</v>
      </c>
      <c r="T117" s="3">
        <v>7857917</v>
      </c>
    </row>
    <row r="118" spans="1:20" x14ac:dyDescent="0.3">
      <c r="A118">
        <v>1117</v>
      </c>
      <c r="B118" t="s">
        <v>114</v>
      </c>
      <c r="C118" t="s">
        <v>21</v>
      </c>
      <c r="D118">
        <v>33</v>
      </c>
      <c r="E118" t="s">
        <v>90</v>
      </c>
      <c r="F118" t="s">
        <v>62</v>
      </c>
      <c r="G118" t="s">
        <v>37</v>
      </c>
      <c r="H118" t="s">
        <v>38</v>
      </c>
      <c r="I118" t="s">
        <v>48</v>
      </c>
      <c r="J118" t="s">
        <v>87</v>
      </c>
      <c r="K118" t="s">
        <v>198</v>
      </c>
      <c r="L118" t="s">
        <v>71</v>
      </c>
      <c r="M118" t="s">
        <v>51</v>
      </c>
      <c r="N118" t="s">
        <v>31</v>
      </c>
      <c r="O118">
        <v>2</v>
      </c>
      <c r="P118" t="s">
        <v>86</v>
      </c>
      <c r="Q118">
        <v>16</v>
      </c>
      <c r="R118">
        <v>91931</v>
      </c>
      <c r="S118">
        <v>702000</v>
      </c>
      <c r="T118" s="3">
        <v>4510069</v>
      </c>
    </row>
    <row r="119" spans="1:20" x14ac:dyDescent="0.3">
      <c r="A119">
        <v>1118</v>
      </c>
      <c r="B119" t="s">
        <v>114</v>
      </c>
      <c r="C119" t="s">
        <v>34</v>
      </c>
      <c r="D119">
        <v>35</v>
      </c>
      <c r="E119" t="s">
        <v>61</v>
      </c>
      <c r="F119" t="s">
        <v>23</v>
      </c>
      <c r="G119" t="s">
        <v>56</v>
      </c>
      <c r="H119" t="s">
        <v>57</v>
      </c>
      <c r="I119" t="s">
        <v>39</v>
      </c>
      <c r="J119" t="s">
        <v>49</v>
      </c>
      <c r="K119" t="s">
        <v>199</v>
      </c>
      <c r="L119" t="s">
        <v>42</v>
      </c>
      <c r="M119" t="s">
        <v>43</v>
      </c>
      <c r="N119" t="s">
        <v>31</v>
      </c>
      <c r="O119">
        <v>5</v>
      </c>
      <c r="P119" t="s">
        <v>32</v>
      </c>
      <c r="Q119">
        <v>5</v>
      </c>
      <c r="R119">
        <v>80695</v>
      </c>
      <c r="S119">
        <v>2250000</v>
      </c>
      <c r="T119" s="3">
        <v>14669305</v>
      </c>
    </row>
    <row r="120" spans="1:20" x14ac:dyDescent="0.3">
      <c r="A120">
        <v>1119</v>
      </c>
      <c r="B120" t="s">
        <v>114</v>
      </c>
      <c r="C120" t="s">
        <v>21</v>
      </c>
      <c r="D120">
        <v>27</v>
      </c>
      <c r="E120" t="s">
        <v>46</v>
      </c>
      <c r="F120" t="s">
        <v>62</v>
      </c>
      <c r="G120" t="s">
        <v>37</v>
      </c>
      <c r="H120" t="s">
        <v>38</v>
      </c>
      <c r="I120" t="s">
        <v>48</v>
      </c>
      <c r="J120" t="s">
        <v>27</v>
      </c>
      <c r="K120" t="s">
        <v>200</v>
      </c>
      <c r="L120" t="s">
        <v>71</v>
      </c>
      <c r="M120" t="s">
        <v>51</v>
      </c>
      <c r="N120" t="s">
        <v>52</v>
      </c>
      <c r="O120">
        <v>4</v>
      </c>
      <c r="P120" t="s">
        <v>86</v>
      </c>
      <c r="Q120">
        <v>24</v>
      </c>
      <c r="R120">
        <v>254092</v>
      </c>
      <c r="S120">
        <v>5760000</v>
      </c>
      <c r="T120" s="3">
        <v>37505908</v>
      </c>
    </row>
    <row r="121" spans="1:20" x14ac:dyDescent="0.3">
      <c r="A121">
        <v>1120</v>
      </c>
      <c r="B121" t="s">
        <v>54</v>
      </c>
      <c r="C121" t="s">
        <v>34</v>
      </c>
      <c r="D121">
        <v>31</v>
      </c>
      <c r="E121" t="s">
        <v>112</v>
      </c>
      <c r="F121" t="s">
        <v>23</v>
      </c>
      <c r="G121" t="s">
        <v>63</v>
      </c>
      <c r="H121" t="s">
        <v>64</v>
      </c>
      <c r="I121" t="s">
        <v>48</v>
      </c>
      <c r="J121" t="s">
        <v>40</v>
      </c>
      <c r="K121" t="s">
        <v>147</v>
      </c>
      <c r="L121" t="s">
        <v>42</v>
      </c>
      <c r="M121" t="s">
        <v>51</v>
      </c>
      <c r="N121" t="s">
        <v>52</v>
      </c>
      <c r="O121">
        <v>3</v>
      </c>
      <c r="P121" t="s">
        <v>53</v>
      </c>
      <c r="Q121">
        <v>20</v>
      </c>
      <c r="R121">
        <v>291206</v>
      </c>
      <c r="S121">
        <v>936000</v>
      </c>
      <c r="T121" s="3">
        <v>5844794</v>
      </c>
    </row>
    <row r="122" spans="1:20" x14ac:dyDescent="0.3">
      <c r="A122">
        <v>1121</v>
      </c>
      <c r="B122" t="s">
        <v>20</v>
      </c>
      <c r="C122" t="s">
        <v>34</v>
      </c>
      <c r="D122">
        <v>25</v>
      </c>
      <c r="E122" t="s">
        <v>46</v>
      </c>
      <c r="F122" t="s">
        <v>55</v>
      </c>
      <c r="G122" t="s">
        <v>74</v>
      </c>
      <c r="H122" t="s">
        <v>75</v>
      </c>
      <c r="I122" t="s">
        <v>97</v>
      </c>
      <c r="J122" t="s">
        <v>40</v>
      </c>
      <c r="K122" t="s">
        <v>201</v>
      </c>
      <c r="L122" t="s">
        <v>29</v>
      </c>
      <c r="M122" t="s">
        <v>43</v>
      </c>
      <c r="N122" t="s">
        <v>31</v>
      </c>
      <c r="O122">
        <v>2</v>
      </c>
      <c r="P122" t="s">
        <v>32</v>
      </c>
      <c r="Q122">
        <v>19</v>
      </c>
      <c r="R122">
        <v>215082</v>
      </c>
      <c r="S122">
        <v>5760000</v>
      </c>
      <c r="T122" s="3">
        <v>37544918</v>
      </c>
    </row>
    <row r="123" spans="1:20" x14ac:dyDescent="0.3">
      <c r="A123">
        <v>1122</v>
      </c>
      <c r="B123" t="s">
        <v>45</v>
      </c>
      <c r="C123" t="s">
        <v>21</v>
      </c>
      <c r="D123">
        <v>50</v>
      </c>
      <c r="E123" t="s">
        <v>46</v>
      </c>
      <c r="F123" t="s">
        <v>23</v>
      </c>
      <c r="G123" t="s">
        <v>74</v>
      </c>
      <c r="H123" t="s">
        <v>75</v>
      </c>
      <c r="I123" t="s">
        <v>39</v>
      </c>
      <c r="J123" t="s">
        <v>40</v>
      </c>
      <c r="K123" t="s">
        <v>202</v>
      </c>
      <c r="L123" t="s">
        <v>66</v>
      </c>
      <c r="M123" t="s">
        <v>30</v>
      </c>
      <c r="N123" t="s">
        <v>31</v>
      </c>
      <c r="O123">
        <v>5</v>
      </c>
      <c r="P123" t="s">
        <v>32</v>
      </c>
      <c r="Q123">
        <v>8</v>
      </c>
      <c r="R123">
        <v>259196</v>
      </c>
      <c r="S123">
        <v>5760000</v>
      </c>
      <c r="T123" s="3">
        <v>37500804</v>
      </c>
    </row>
    <row r="124" spans="1:20" x14ac:dyDescent="0.3">
      <c r="A124">
        <v>1123</v>
      </c>
      <c r="B124" t="s">
        <v>108</v>
      </c>
      <c r="C124" t="s">
        <v>34</v>
      </c>
      <c r="D124">
        <v>26</v>
      </c>
      <c r="E124" t="s">
        <v>46</v>
      </c>
      <c r="F124" t="s">
        <v>62</v>
      </c>
      <c r="G124" t="s">
        <v>56</v>
      </c>
      <c r="H124" t="s">
        <v>57</v>
      </c>
      <c r="I124" t="s">
        <v>76</v>
      </c>
      <c r="J124" t="s">
        <v>40</v>
      </c>
      <c r="K124" t="s">
        <v>121</v>
      </c>
      <c r="L124" t="s">
        <v>71</v>
      </c>
      <c r="M124" t="s">
        <v>43</v>
      </c>
      <c r="N124" t="s">
        <v>31</v>
      </c>
      <c r="O124">
        <v>5</v>
      </c>
      <c r="P124" t="s">
        <v>86</v>
      </c>
      <c r="Q124">
        <v>24</v>
      </c>
      <c r="R124">
        <v>66037</v>
      </c>
      <c r="S124">
        <v>5760000</v>
      </c>
      <c r="T124" s="3">
        <v>37693963</v>
      </c>
    </row>
    <row r="125" spans="1:20" x14ac:dyDescent="0.3">
      <c r="A125">
        <v>1124</v>
      </c>
      <c r="B125" t="s">
        <v>67</v>
      </c>
      <c r="C125" t="s">
        <v>34</v>
      </c>
      <c r="D125">
        <v>44</v>
      </c>
      <c r="E125" t="s">
        <v>46</v>
      </c>
      <c r="F125" t="s">
        <v>62</v>
      </c>
      <c r="G125" t="s">
        <v>47</v>
      </c>
      <c r="H125" t="s">
        <v>25</v>
      </c>
      <c r="I125" t="s">
        <v>76</v>
      </c>
      <c r="J125" t="s">
        <v>87</v>
      </c>
      <c r="K125" t="s">
        <v>203</v>
      </c>
      <c r="L125" t="s">
        <v>29</v>
      </c>
      <c r="M125" t="s">
        <v>43</v>
      </c>
      <c r="N125" t="s">
        <v>52</v>
      </c>
      <c r="O125">
        <v>4</v>
      </c>
      <c r="P125" t="s">
        <v>86</v>
      </c>
      <c r="Q125">
        <v>21</v>
      </c>
      <c r="R125">
        <v>183254</v>
      </c>
      <c r="S125">
        <v>5760000</v>
      </c>
      <c r="T125" s="3">
        <v>37576746</v>
      </c>
    </row>
    <row r="126" spans="1:20" x14ac:dyDescent="0.3">
      <c r="A126">
        <v>1125</v>
      </c>
      <c r="B126" t="s">
        <v>101</v>
      </c>
      <c r="C126" t="s">
        <v>34</v>
      </c>
      <c r="D126">
        <v>49</v>
      </c>
      <c r="E126" t="s">
        <v>112</v>
      </c>
      <c r="F126" t="s">
        <v>36</v>
      </c>
      <c r="G126" t="s">
        <v>24</v>
      </c>
      <c r="H126" t="s">
        <v>25</v>
      </c>
      <c r="I126" t="s">
        <v>76</v>
      </c>
      <c r="J126" t="s">
        <v>87</v>
      </c>
      <c r="K126" t="s">
        <v>204</v>
      </c>
      <c r="L126" t="s">
        <v>66</v>
      </c>
      <c r="M126" t="s">
        <v>78</v>
      </c>
      <c r="N126" t="s">
        <v>52</v>
      </c>
      <c r="O126">
        <v>4</v>
      </c>
      <c r="P126" t="s">
        <v>32</v>
      </c>
      <c r="Q126">
        <v>21</v>
      </c>
      <c r="R126">
        <v>171942</v>
      </c>
      <c r="S126">
        <v>936000</v>
      </c>
      <c r="T126" s="3">
        <v>5964058</v>
      </c>
    </row>
    <row r="127" spans="1:20" x14ac:dyDescent="0.3">
      <c r="A127">
        <v>1126</v>
      </c>
      <c r="B127" t="s">
        <v>81</v>
      </c>
      <c r="C127" t="s">
        <v>21</v>
      </c>
      <c r="D127">
        <v>29</v>
      </c>
      <c r="E127" t="s">
        <v>73</v>
      </c>
      <c r="F127" t="s">
        <v>55</v>
      </c>
      <c r="G127" t="s">
        <v>63</v>
      </c>
      <c r="H127" t="s">
        <v>64</v>
      </c>
      <c r="I127" t="s">
        <v>48</v>
      </c>
      <c r="J127" t="s">
        <v>49</v>
      </c>
      <c r="K127" t="s">
        <v>205</v>
      </c>
      <c r="L127" t="s">
        <v>29</v>
      </c>
      <c r="M127" t="s">
        <v>30</v>
      </c>
      <c r="N127" t="s">
        <v>52</v>
      </c>
      <c r="O127">
        <v>2</v>
      </c>
      <c r="P127" t="s">
        <v>32</v>
      </c>
      <c r="Q127">
        <v>7</v>
      </c>
      <c r="R127">
        <v>189811</v>
      </c>
      <c r="S127">
        <v>1224000</v>
      </c>
      <c r="T127" s="3">
        <v>7834189</v>
      </c>
    </row>
    <row r="128" spans="1:20" x14ac:dyDescent="0.3">
      <c r="A128">
        <v>1127</v>
      </c>
      <c r="B128" t="s">
        <v>104</v>
      </c>
      <c r="C128" t="s">
        <v>21</v>
      </c>
      <c r="D128">
        <v>38</v>
      </c>
      <c r="E128" t="s">
        <v>61</v>
      </c>
      <c r="F128" t="s">
        <v>62</v>
      </c>
      <c r="G128" t="s">
        <v>105</v>
      </c>
      <c r="H128" t="s">
        <v>106</v>
      </c>
      <c r="I128" t="s">
        <v>97</v>
      </c>
      <c r="J128" t="s">
        <v>27</v>
      </c>
      <c r="K128" t="s">
        <v>206</v>
      </c>
      <c r="L128" t="s">
        <v>71</v>
      </c>
      <c r="M128" t="s">
        <v>43</v>
      </c>
      <c r="N128" t="s">
        <v>52</v>
      </c>
      <c r="O128">
        <v>2</v>
      </c>
      <c r="P128" t="s">
        <v>86</v>
      </c>
      <c r="Q128">
        <v>12</v>
      </c>
      <c r="R128">
        <v>53045</v>
      </c>
      <c r="S128">
        <v>2250000</v>
      </c>
      <c r="T128" s="3">
        <v>14696955</v>
      </c>
    </row>
    <row r="129" spans="1:20" x14ac:dyDescent="0.3">
      <c r="A129">
        <v>1128</v>
      </c>
      <c r="B129" t="s">
        <v>67</v>
      </c>
      <c r="C129" t="s">
        <v>34</v>
      </c>
      <c r="D129">
        <v>48</v>
      </c>
      <c r="E129" t="s">
        <v>90</v>
      </c>
      <c r="F129" t="s">
        <v>55</v>
      </c>
      <c r="G129" t="s">
        <v>63</v>
      </c>
      <c r="H129" t="s">
        <v>64</v>
      </c>
      <c r="I129" t="s">
        <v>76</v>
      </c>
      <c r="J129" t="s">
        <v>49</v>
      </c>
      <c r="K129" t="s">
        <v>207</v>
      </c>
      <c r="L129" t="s">
        <v>71</v>
      </c>
      <c r="M129" t="s">
        <v>30</v>
      </c>
      <c r="N129" t="s">
        <v>31</v>
      </c>
      <c r="O129">
        <v>5</v>
      </c>
      <c r="P129" t="s">
        <v>44</v>
      </c>
      <c r="Q129">
        <v>14</v>
      </c>
      <c r="R129">
        <v>199318</v>
      </c>
      <c r="S129">
        <v>702000</v>
      </c>
      <c r="T129" s="3">
        <v>4402682</v>
      </c>
    </row>
    <row r="130" spans="1:20" x14ac:dyDescent="0.3">
      <c r="A130">
        <v>1129</v>
      </c>
      <c r="B130" t="s">
        <v>20</v>
      </c>
      <c r="C130" t="s">
        <v>21</v>
      </c>
      <c r="D130">
        <v>43</v>
      </c>
      <c r="E130" t="s">
        <v>35</v>
      </c>
      <c r="F130" t="s">
        <v>23</v>
      </c>
      <c r="G130" t="s">
        <v>37</v>
      </c>
      <c r="H130" t="s">
        <v>38</v>
      </c>
      <c r="I130" t="s">
        <v>48</v>
      </c>
      <c r="J130" t="s">
        <v>40</v>
      </c>
      <c r="K130" t="s">
        <v>208</v>
      </c>
      <c r="L130" t="s">
        <v>59</v>
      </c>
      <c r="M130" t="s">
        <v>51</v>
      </c>
      <c r="N130" t="s">
        <v>31</v>
      </c>
      <c r="O130">
        <v>5</v>
      </c>
      <c r="P130" t="s">
        <v>86</v>
      </c>
      <c r="Q130">
        <v>13</v>
      </c>
      <c r="R130">
        <v>88162</v>
      </c>
      <c r="S130">
        <v>1764000</v>
      </c>
      <c r="T130" s="3">
        <v>11475838</v>
      </c>
    </row>
    <row r="131" spans="1:20" x14ac:dyDescent="0.3">
      <c r="A131">
        <v>1130</v>
      </c>
      <c r="B131" t="s">
        <v>104</v>
      </c>
      <c r="C131" t="s">
        <v>21</v>
      </c>
      <c r="D131">
        <v>25</v>
      </c>
      <c r="E131" t="s">
        <v>82</v>
      </c>
      <c r="F131" t="s">
        <v>36</v>
      </c>
      <c r="G131" t="s">
        <v>63</v>
      </c>
      <c r="H131" t="s">
        <v>64</v>
      </c>
      <c r="I131" t="s">
        <v>26</v>
      </c>
      <c r="J131" t="s">
        <v>87</v>
      </c>
      <c r="K131" t="s">
        <v>147</v>
      </c>
      <c r="L131" t="s">
        <v>59</v>
      </c>
      <c r="M131" t="s">
        <v>43</v>
      </c>
      <c r="N131" t="s">
        <v>31</v>
      </c>
      <c r="O131">
        <v>3</v>
      </c>
      <c r="P131" t="s">
        <v>32</v>
      </c>
      <c r="Q131">
        <v>23</v>
      </c>
      <c r="R131">
        <v>297073</v>
      </c>
      <c r="S131">
        <v>1098000</v>
      </c>
      <c r="T131" s="3">
        <v>6900927</v>
      </c>
    </row>
    <row r="132" spans="1:20" x14ac:dyDescent="0.3">
      <c r="A132">
        <v>1131</v>
      </c>
      <c r="B132" t="s">
        <v>60</v>
      </c>
      <c r="C132" t="s">
        <v>34</v>
      </c>
      <c r="D132">
        <v>48</v>
      </c>
      <c r="E132" t="s">
        <v>118</v>
      </c>
      <c r="F132" t="s">
        <v>36</v>
      </c>
      <c r="G132" t="s">
        <v>47</v>
      </c>
      <c r="H132" t="s">
        <v>25</v>
      </c>
      <c r="I132" t="s">
        <v>76</v>
      </c>
      <c r="J132" t="s">
        <v>27</v>
      </c>
      <c r="K132" t="s">
        <v>209</v>
      </c>
      <c r="L132" t="s">
        <v>59</v>
      </c>
      <c r="M132" t="s">
        <v>51</v>
      </c>
      <c r="N132" t="s">
        <v>31</v>
      </c>
      <c r="O132">
        <v>5</v>
      </c>
      <c r="P132" t="s">
        <v>86</v>
      </c>
      <c r="Q132">
        <v>14</v>
      </c>
      <c r="R132">
        <v>114399</v>
      </c>
      <c r="S132">
        <v>1350000</v>
      </c>
      <c r="T132" s="3">
        <v>8735601</v>
      </c>
    </row>
    <row r="133" spans="1:20" x14ac:dyDescent="0.3">
      <c r="A133">
        <v>1132</v>
      </c>
      <c r="B133" t="s">
        <v>45</v>
      </c>
      <c r="C133" t="s">
        <v>21</v>
      </c>
      <c r="D133">
        <v>60</v>
      </c>
      <c r="E133" t="s">
        <v>35</v>
      </c>
      <c r="F133" t="s">
        <v>23</v>
      </c>
      <c r="G133" t="s">
        <v>105</v>
      </c>
      <c r="H133" t="s">
        <v>106</v>
      </c>
      <c r="I133" t="s">
        <v>39</v>
      </c>
      <c r="J133" t="s">
        <v>87</v>
      </c>
      <c r="K133" t="s">
        <v>210</v>
      </c>
      <c r="L133" t="s">
        <v>59</v>
      </c>
      <c r="M133" t="s">
        <v>43</v>
      </c>
      <c r="N133" t="s">
        <v>31</v>
      </c>
      <c r="O133">
        <v>4</v>
      </c>
      <c r="P133" t="s">
        <v>53</v>
      </c>
      <c r="Q133">
        <v>25</v>
      </c>
      <c r="R133">
        <v>126741</v>
      </c>
      <c r="S133">
        <v>1764000</v>
      </c>
      <c r="T133" s="3">
        <v>11437259</v>
      </c>
    </row>
    <row r="134" spans="1:20" x14ac:dyDescent="0.3">
      <c r="A134">
        <v>1133</v>
      </c>
      <c r="B134" t="s">
        <v>99</v>
      </c>
      <c r="C134" t="s">
        <v>21</v>
      </c>
      <c r="D134">
        <v>38</v>
      </c>
      <c r="E134" t="s">
        <v>118</v>
      </c>
      <c r="F134" t="s">
        <v>23</v>
      </c>
      <c r="G134" t="s">
        <v>56</v>
      </c>
      <c r="H134" t="s">
        <v>57</v>
      </c>
      <c r="I134" t="s">
        <v>76</v>
      </c>
      <c r="J134" t="s">
        <v>49</v>
      </c>
      <c r="K134" t="s">
        <v>206</v>
      </c>
      <c r="L134" t="s">
        <v>42</v>
      </c>
      <c r="M134" t="s">
        <v>78</v>
      </c>
      <c r="N134" t="s">
        <v>31</v>
      </c>
      <c r="O134">
        <v>3</v>
      </c>
      <c r="P134" t="s">
        <v>86</v>
      </c>
      <c r="Q134">
        <v>9</v>
      </c>
      <c r="R134">
        <v>230820</v>
      </c>
      <c r="S134">
        <v>1350000</v>
      </c>
      <c r="T134" s="3">
        <v>8619180</v>
      </c>
    </row>
    <row r="135" spans="1:20" x14ac:dyDescent="0.3">
      <c r="A135">
        <v>1134</v>
      </c>
      <c r="B135" t="s">
        <v>54</v>
      </c>
      <c r="C135" t="s">
        <v>21</v>
      </c>
      <c r="D135">
        <v>25</v>
      </c>
      <c r="E135" t="s">
        <v>90</v>
      </c>
      <c r="F135" t="s">
        <v>62</v>
      </c>
      <c r="G135" t="s">
        <v>56</v>
      </c>
      <c r="H135" t="s">
        <v>57</v>
      </c>
      <c r="I135" t="s">
        <v>39</v>
      </c>
      <c r="J135" t="s">
        <v>40</v>
      </c>
      <c r="K135" t="s">
        <v>211</v>
      </c>
      <c r="L135" t="s">
        <v>66</v>
      </c>
      <c r="M135" t="s">
        <v>51</v>
      </c>
      <c r="N135" t="s">
        <v>52</v>
      </c>
      <c r="O135">
        <v>3</v>
      </c>
      <c r="P135" t="s">
        <v>44</v>
      </c>
      <c r="Q135">
        <v>25</v>
      </c>
      <c r="R135">
        <v>294261</v>
      </c>
      <c r="S135">
        <v>702000</v>
      </c>
      <c r="T135" s="3">
        <v>4307739</v>
      </c>
    </row>
    <row r="136" spans="1:20" x14ac:dyDescent="0.3">
      <c r="A136">
        <v>1135</v>
      </c>
      <c r="B136" t="s">
        <v>67</v>
      </c>
      <c r="C136" t="s">
        <v>21</v>
      </c>
      <c r="D136">
        <v>52</v>
      </c>
      <c r="E136" t="s">
        <v>82</v>
      </c>
      <c r="F136" t="s">
        <v>62</v>
      </c>
      <c r="G136" t="s">
        <v>56</v>
      </c>
      <c r="H136" t="s">
        <v>57</v>
      </c>
      <c r="I136" t="s">
        <v>48</v>
      </c>
      <c r="J136" t="s">
        <v>87</v>
      </c>
      <c r="K136" t="s">
        <v>212</v>
      </c>
      <c r="L136" t="s">
        <v>66</v>
      </c>
      <c r="M136" t="s">
        <v>94</v>
      </c>
      <c r="N136" t="s">
        <v>31</v>
      </c>
      <c r="O136">
        <v>5</v>
      </c>
      <c r="P136" t="s">
        <v>44</v>
      </c>
      <c r="Q136">
        <v>22</v>
      </c>
      <c r="R136">
        <v>249659</v>
      </c>
      <c r="S136">
        <v>1098000</v>
      </c>
      <c r="T136" s="3">
        <v>6948341</v>
      </c>
    </row>
    <row r="137" spans="1:20" x14ac:dyDescent="0.3">
      <c r="A137">
        <v>1136</v>
      </c>
      <c r="B137" t="s">
        <v>108</v>
      </c>
      <c r="C137" t="s">
        <v>21</v>
      </c>
      <c r="D137">
        <v>33</v>
      </c>
      <c r="E137" t="s">
        <v>73</v>
      </c>
      <c r="F137" t="s">
        <v>23</v>
      </c>
      <c r="G137" t="s">
        <v>47</v>
      </c>
      <c r="H137" t="s">
        <v>25</v>
      </c>
      <c r="I137" t="s">
        <v>97</v>
      </c>
      <c r="J137" t="s">
        <v>49</v>
      </c>
      <c r="K137" t="s">
        <v>147</v>
      </c>
      <c r="L137" t="s">
        <v>59</v>
      </c>
      <c r="M137" t="s">
        <v>43</v>
      </c>
      <c r="N137" t="s">
        <v>31</v>
      </c>
      <c r="O137">
        <v>5</v>
      </c>
      <c r="P137" t="s">
        <v>53</v>
      </c>
      <c r="Q137">
        <v>20</v>
      </c>
      <c r="R137">
        <v>168730</v>
      </c>
      <c r="S137">
        <v>1224000</v>
      </c>
      <c r="T137" s="3">
        <v>7855270</v>
      </c>
    </row>
    <row r="138" spans="1:20" x14ac:dyDescent="0.3">
      <c r="A138">
        <v>1137</v>
      </c>
      <c r="B138" t="s">
        <v>101</v>
      </c>
      <c r="C138" t="s">
        <v>21</v>
      </c>
      <c r="D138">
        <v>52</v>
      </c>
      <c r="E138" t="s">
        <v>68</v>
      </c>
      <c r="F138" t="s">
        <v>55</v>
      </c>
      <c r="G138" t="s">
        <v>105</v>
      </c>
      <c r="H138" t="s">
        <v>106</v>
      </c>
      <c r="I138" t="s">
        <v>97</v>
      </c>
      <c r="J138" t="s">
        <v>49</v>
      </c>
      <c r="K138" t="s">
        <v>117</v>
      </c>
      <c r="L138" t="s">
        <v>42</v>
      </c>
      <c r="M138" t="s">
        <v>51</v>
      </c>
      <c r="N138" t="s">
        <v>31</v>
      </c>
      <c r="O138">
        <v>3</v>
      </c>
      <c r="P138" t="s">
        <v>53</v>
      </c>
      <c r="Q138">
        <v>5</v>
      </c>
      <c r="R138">
        <v>168408</v>
      </c>
      <c r="S138">
        <v>846000</v>
      </c>
      <c r="T138" s="3">
        <v>5377592</v>
      </c>
    </row>
    <row r="139" spans="1:20" x14ac:dyDescent="0.3">
      <c r="A139">
        <v>1138</v>
      </c>
      <c r="B139" t="s">
        <v>20</v>
      </c>
      <c r="C139" t="s">
        <v>34</v>
      </c>
      <c r="D139">
        <v>25</v>
      </c>
      <c r="E139" t="s">
        <v>118</v>
      </c>
      <c r="F139" t="s">
        <v>23</v>
      </c>
      <c r="G139" t="s">
        <v>105</v>
      </c>
      <c r="H139" t="s">
        <v>106</v>
      </c>
      <c r="I139" t="s">
        <v>97</v>
      </c>
      <c r="J139" t="s">
        <v>40</v>
      </c>
      <c r="K139" t="s">
        <v>213</v>
      </c>
      <c r="L139" t="s">
        <v>42</v>
      </c>
      <c r="M139" t="s">
        <v>94</v>
      </c>
      <c r="N139" t="s">
        <v>31</v>
      </c>
      <c r="O139">
        <v>3</v>
      </c>
      <c r="P139" t="s">
        <v>32</v>
      </c>
      <c r="Q139">
        <v>14</v>
      </c>
      <c r="R139">
        <v>258088</v>
      </c>
      <c r="S139">
        <v>1350000</v>
      </c>
      <c r="T139" s="3">
        <v>8591912</v>
      </c>
    </row>
    <row r="140" spans="1:20" x14ac:dyDescent="0.3">
      <c r="A140">
        <v>1139</v>
      </c>
      <c r="B140" t="s">
        <v>114</v>
      </c>
      <c r="C140" t="s">
        <v>21</v>
      </c>
      <c r="D140">
        <v>39</v>
      </c>
      <c r="E140" t="s">
        <v>90</v>
      </c>
      <c r="F140" t="s">
        <v>23</v>
      </c>
      <c r="G140" t="s">
        <v>37</v>
      </c>
      <c r="H140" t="s">
        <v>38</v>
      </c>
      <c r="I140" t="s">
        <v>97</v>
      </c>
      <c r="J140" t="s">
        <v>87</v>
      </c>
      <c r="K140" t="s">
        <v>214</v>
      </c>
      <c r="L140" t="s">
        <v>66</v>
      </c>
      <c r="M140" t="s">
        <v>94</v>
      </c>
      <c r="N140" t="s">
        <v>52</v>
      </c>
      <c r="O140">
        <v>4</v>
      </c>
      <c r="P140" t="s">
        <v>53</v>
      </c>
      <c r="Q140">
        <v>5</v>
      </c>
      <c r="R140">
        <v>221031</v>
      </c>
      <c r="S140">
        <v>702000</v>
      </c>
      <c r="T140" s="3">
        <v>4380969</v>
      </c>
    </row>
    <row r="141" spans="1:20" x14ac:dyDescent="0.3">
      <c r="A141">
        <v>1140</v>
      </c>
      <c r="B141" t="s">
        <v>72</v>
      </c>
      <c r="C141" t="s">
        <v>34</v>
      </c>
      <c r="D141">
        <v>26</v>
      </c>
      <c r="E141" t="s">
        <v>73</v>
      </c>
      <c r="F141" t="s">
        <v>62</v>
      </c>
      <c r="G141" t="s">
        <v>105</v>
      </c>
      <c r="H141" t="s">
        <v>106</v>
      </c>
      <c r="I141" t="s">
        <v>39</v>
      </c>
      <c r="J141" t="s">
        <v>40</v>
      </c>
      <c r="K141" t="s">
        <v>215</v>
      </c>
      <c r="L141" t="s">
        <v>59</v>
      </c>
      <c r="M141" t="s">
        <v>43</v>
      </c>
      <c r="N141" t="s">
        <v>52</v>
      </c>
      <c r="O141">
        <v>2</v>
      </c>
      <c r="P141" t="s">
        <v>44</v>
      </c>
      <c r="Q141">
        <v>23</v>
      </c>
      <c r="R141">
        <v>183942</v>
      </c>
      <c r="S141">
        <v>1224000</v>
      </c>
      <c r="T141" s="3">
        <v>7840058</v>
      </c>
    </row>
    <row r="142" spans="1:20" x14ac:dyDescent="0.3">
      <c r="A142">
        <v>1141</v>
      </c>
      <c r="B142" t="s">
        <v>104</v>
      </c>
      <c r="C142" t="s">
        <v>21</v>
      </c>
      <c r="D142">
        <v>32</v>
      </c>
      <c r="E142" t="s">
        <v>82</v>
      </c>
      <c r="F142" t="s">
        <v>36</v>
      </c>
      <c r="G142" t="s">
        <v>115</v>
      </c>
      <c r="H142" t="s">
        <v>106</v>
      </c>
      <c r="I142" t="s">
        <v>48</v>
      </c>
      <c r="J142" t="s">
        <v>87</v>
      </c>
      <c r="K142" t="s">
        <v>216</v>
      </c>
      <c r="L142" t="s">
        <v>71</v>
      </c>
      <c r="M142" t="s">
        <v>78</v>
      </c>
      <c r="N142" t="s">
        <v>31</v>
      </c>
      <c r="O142">
        <v>4</v>
      </c>
      <c r="P142" t="s">
        <v>44</v>
      </c>
      <c r="Q142">
        <v>25</v>
      </c>
      <c r="R142">
        <v>207969</v>
      </c>
      <c r="S142">
        <v>1098000</v>
      </c>
      <c r="T142" s="3">
        <v>6990031</v>
      </c>
    </row>
    <row r="143" spans="1:20" x14ac:dyDescent="0.3">
      <c r="A143">
        <v>1142</v>
      </c>
      <c r="B143" t="s">
        <v>108</v>
      </c>
      <c r="C143" t="s">
        <v>34</v>
      </c>
      <c r="D143">
        <v>35</v>
      </c>
      <c r="E143" t="s">
        <v>112</v>
      </c>
      <c r="F143" t="s">
        <v>62</v>
      </c>
      <c r="G143" t="s">
        <v>69</v>
      </c>
      <c r="H143" t="s">
        <v>69</v>
      </c>
      <c r="I143" t="s">
        <v>97</v>
      </c>
      <c r="J143" t="s">
        <v>49</v>
      </c>
      <c r="K143" t="s">
        <v>217</v>
      </c>
      <c r="L143" t="s">
        <v>29</v>
      </c>
      <c r="M143" t="s">
        <v>30</v>
      </c>
      <c r="N143" t="s">
        <v>52</v>
      </c>
      <c r="O143">
        <v>2</v>
      </c>
      <c r="P143" t="s">
        <v>32</v>
      </c>
      <c r="Q143">
        <v>6</v>
      </c>
      <c r="R143">
        <v>103081</v>
      </c>
      <c r="S143">
        <v>936000</v>
      </c>
      <c r="T143" s="3">
        <v>6032919</v>
      </c>
    </row>
    <row r="144" spans="1:20" x14ac:dyDescent="0.3">
      <c r="A144">
        <v>1143</v>
      </c>
      <c r="B144" t="s">
        <v>108</v>
      </c>
      <c r="C144" t="s">
        <v>34</v>
      </c>
      <c r="D144">
        <v>49</v>
      </c>
      <c r="E144" t="s">
        <v>35</v>
      </c>
      <c r="F144" t="s">
        <v>62</v>
      </c>
      <c r="G144" t="s">
        <v>91</v>
      </c>
      <c r="H144" t="s">
        <v>25</v>
      </c>
      <c r="I144" t="s">
        <v>26</v>
      </c>
      <c r="J144" t="s">
        <v>40</v>
      </c>
      <c r="K144" t="s">
        <v>218</v>
      </c>
      <c r="L144" t="s">
        <v>42</v>
      </c>
      <c r="M144" t="s">
        <v>43</v>
      </c>
      <c r="N144" t="s">
        <v>31</v>
      </c>
      <c r="O144">
        <v>2</v>
      </c>
      <c r="P144" t="s">
        <v>86</v>
      </c>
      <c r="Q144">
        <v>10</v>
      </c>
      <c r="R144">
        <v>250893</v>
      </c>
      <c r="S144">
        <v>1764000</v>
      </c>
      <c r="T144" s="3">
        <v>11313107</v>
      </c>
    </row>
    <row r="145" spans="1:20" x14ac:dyDescent="0.3">
      <c r="A145">
        <v>1144</v>
      </c>
      <c r="B145" t="s">
        <v>108</v>
      </c>
      <c r="C145" t="s">
        <v>21</v>
      </c>
      <c r="D145">
        <v>43</v>
      </c>
      <c r="E145" t="s">
        <v>68</v>
      </c>
      <c r="F145" t="s">
        <v>62</v>
      </c>
      <c r="G145" t="s">
        <v>37</v>
      </c>
      <c r="H145" t="s">
        <v>38</v>
      </c>
      <c r="I145" t="s">
        <v>26</v>
      </c>
      <c r="J145" t="s">
        <v>27</v>
      </c>
      <c r="K145" t="s">
        <v>219</v>
      </c>
      <c r="L145" t="s">
        <v>29</v>
      </c>
      <c r="M145" t="s">
        <v>43</v>
      </c>
      <c r="N145" t="s">
        <v>31</v>
      </c>
      <c r="O145">
        <v>3</v>
      </c>
      <c r="P145" t="s">
        <v>32</v>
      </c>
      <c r="Q145">
        <v>18</v>
      </c>
      <c r="R145">
        <v>60272</v>
      </c>
      <c r="S145">
        <v>846000</v>
      </c>
      <c r="T145" s="3">
        <v>5485728</v>
      </c>
    </row>
    <row r="146" spans="1:20" x14ac:dyDescent="0.3">
      <c r="A146">
        <v>1145</v>
      </c>
      <c r="B146" t="s">
        <v>81</v>
      </c>
      <c r="C146" t="s">
        <v>34</v>
      </c>
      <c r="D146">
        <v>49</v>
      </c>
      <c r="E146" t="s">
        <v>90</v>
      </c>
      <c r="F146" t="s">
        <v>36</v>
      </c>
      <c r="G146" t="s">
        <v>115</v>
      </c>
      <c r="H146" t="s">
        <v>106</v>
      </c>
      <c r="I146" t="s">
        <v>48</v>
      </c>
      <c r="J146" t="s">
        <v>87</v>
      </c>
      <c r="K146" t="s">
        <v>220</v>
      </c>
      <c r="L146" t="s">
        <v>71</v>
      </c>
      <c r="M146" t="s">
        <v>78</v>
      </c>
      <c r="N146" t="s">
        <v>31</v>
      </c>
      <c r="O146">
        <v>5</v>
      </c>
      <c r="P146" t="s">
        <v>44</v>
      </c>
      <c r="Q146">
        <v>22</v>
      </c>
      <c r="R146">
        <v>222475</v>
      </c>
      <c r="S146">
        <v>702000</v>
      </c>
      <c r="T146" s="3">
        <v>4379525</v>
      </c>
    </row>
    <row r="147" spans="1:20" x14ac:dyDescent="0.3">
      <c r="A147">
        <v>1146</v>
      </c>
      <c r="B147" t="s">
        <v>72</v>
      </c>
      <c r="C147" t="s">
        <v>21</v>
      </c>
      <c r="D147">
        <v>31</v>
      </c>
      <c r="E147" t="s">
        <v>68</v>
      </c>
      <c r="F147" t="s">
        <v>55</v>
      </c>
      <c r="G147" t="s">
        <v>69</v>
      </c>
      <c r="H147" t="s">
        <v>69</v>
      </c>
      <c r="I147" t="s">
        <v>39</v>
      </c>
      <c r="J147" t="s">
        <v>87</v>
      </c>
      <c r="K147" t="s">
        <v>221</v>
      </c>
      <c r="L147" t="s">
        <v>59</v>
      </c>
      <c r="M147" t="s">
        <v>51</v>
      </c>
      <c r="N147" t="s">
        <v>31</v>
      </c>
      <c r="O147">
        <v>2</v>
      </c>
      <c r="P147" t="s">
        <v>86</v>
      </c>
      <c r="Q147">
        <v>7</v>
      </c>
      <c r="R147">
        <v>52067</v>
      </c>
      <c r="S147">
        <v>846000</v>
      </c>
      <c r="T147" s="3">
        <v>5493933</v>
      </c>
    </row>
    <row r="148" spans="1:20" x14ac:dyDescent="0.3">
      <c r="A148">
        <v>1147</v>
      </c>
      <c r="B148" t="s">
        <v>54</v>
      </c>
      <c r="C148" t="s">
        <v>21</v>
      </c>
      <c r="D148">
        <v>52</v>
      </c>
      <c r="E148" t="s">
        <v>61</v>
      </c>
      <c r="F148" t="s">
        <v>23</v>
      </c>
      <c r="G148" t="s">
        <v>37</v>
      </c>
      <c r="H148" t="s">
        <v>38</v>
      </c>
      <c r="I148" t="s">
        <v>48</v>
      </c>
      <c r="J148" t="s">
        <v>40</v>
      </c>
      <c r="K148" t="s">
        <v>222</v>
      </c>
      <c r="L148" t="s">
        <v>71</v>
      </c>
      <c r="M148" t="s">
        <v>94</v>
      </c>
      <c r="N148" t="s">
        <v>52</v>
      </c>
      <c r="O148">
        <v>5</v>
      </c>
      <c r="P148" t="s">
        <v>32</v>
      </c>
      <c r="Q148">
        <v>24</v>
      </c>
      <c r="R148">
        <v>216817</v>
      </c>
      <c r="S148">
        <v>2250000</v>
      </c>
      <c r="T148" s="3">
        <v>14533183</v>
      </c>
    </row>
    <row r="149" spans="1:20" x14ac:dyDescent="0.3">
      <c r="A149">
        <v>1148</v>
      </c>
      <c r="B149" t="s">
        <v>108</v>
      </c>
      <c r="C149" t="s">
        <v>34</v>
      </c>
      <c r="D149">
        <v>50</v>
      </c>
      <c r="E149" t="s">
        <v>61</v>
      </c>
      <c r="F149" t="s">
        <v>36</v>
      </c>
      <c r="G149" t="s">
        <v>115</v>
      </c>
      <c r="H149" t="s">
        <v>106</v>
      </c>
      <c r="I149" t="s">
        <v>26</v>
      </c>
      <c r="J149" t="s">
        <v>40</v>
      </c>
      <c r="K149" t="s">
        <v>193</v>
      </c>
      <c r="L149" t="s">
        <v>42</v>
      </c>
      <c r="M149" t="s">
        <v>51</v>
      </c>
      <c r="N149" t="s">
        <v>52</v>
      </c>
      <c r="O149">
        <v>2</v>
      </c>
      <c r="P149" t="s">
        <v>86</v>
      </c>
      <c r="Q149">
        <v>9</v>
      </c>
      <c r="R149">
        <v>62973</v>
      </c>
      <c r="S149">
        <v>2250000</v>
      </c>
      <c r="T149" s="3">
        <v>14687027</v>
      </c>
    </row>
    <row r="150" spans="1:20" x14ac:dyDescent="0.3">
      <c r="A150">
        <v>1149</v>
      </c>
      <c r="B150" t="s">
        <v>45</v>
      </c>
      <c r="C150" t="s">
        <v>34</v>
      </c>
      <c r="D150">
        <v>28</v>
      </c>
      <c r="E150" t="s">
        <v>82</v>
      </c>
      <c r="F150" t="s">
        <v>23</v>
      </c>
      <c r="G150" t="s">
        <v>24</v>
      </c>
      <c r="H150" t="s">
        <v>25</v>
      </c>
      <c r="I150" t="s">
        <v>97</v>
      </c>
      <c r="J150" t="s">
        <v>87</v>
      </c>
      <c r="K150" t="s">
        <v>223</v>
      </c>
      <c r="L150" t="s">
        <v>66</v>
      </c>
      <c r="M150" t="s">
        <v>51</v>
      </c>
      <c r="N150" t="s">
        <v>52</v>
      </c>
      <c r="O150">
        <v>4</v>
      </c>
      <c r="P150" t="s">
        <v>32</v>
      </c>
      <c r="Q150">
        <v>11</v>
      </c>
      <c r="R150">
        <v>98842</v>
      </c>
      <c r="S150">
        <v>1098000</v>
      </c>
      <c r="T150" s="3">
        <v>7099158</v>
      </c>
    </row>
    <row r="151" spans="1:20" x14ac:dyDescent="0.3">
      <c r="A151">
        <v>1150</v>
      </c>
      <c r="B151" t="s">
        <v>72</v>
      </c>
      <c r="C151" t="s">
        <v>21</v>
      </c>
      <c r="D151">
        <v>56</v>
      </c>
      <c r="E151" t="s">
        <v>118</v>
      </c>
      <c r="F151" t="s">
        <v>36</v>
      </c>
      <c r="G151" t="s">
        <v>24</v>
      </c>
      <c r="H151" t="s">
        <v>25</v>
      </c>
      <c r="I151" t="s">
        <v>97</v>
      </c>
      <c r="J151" t="s">
        <v>49</v>
      </c>
      <c r="K151" t="s">
        <v>224</v>
      </c>
      <c r="L151" t="s">
        <v>71</v>
      </c>
      <c r="M151" t="s">
        <v>43</v>
      </c>
      <c r="N151" t="s">
        <v>31</v>
      </c>
      <c r="O151">
        <v>2</v>
      </c>
      <c r="P151" t="s">
        <v>86</v>
      </c>
      <c r="Q151">
        <v>8</v>
      </c>
      <c r="R151">
        <v>249716</v>
      </c>
      <c r="S151">
        <v>1350000</v>
      </c>
      <c r="T151" s="3">
        <v>8600284</v>
      </c>
    </row>
    <row r="152" spans="1:20" x14ac:dyDescent="0.3">
      <c r="A152">
        <v>1151</v>
      </c>
      <c r="B152" t="s">
        <v>60</v>
      </c>
      <c r="C152" t="s">
        <v>21</v>
      </c>
      <c r="D152">
        <v>42</v>
      </c>
      <c r="E152" t="s">
        <v>118</v>
      </c>
      <c r="F152" t="s">
        <v>23</v>
      </c>
      <c r="G152" t="s">
        <v>37</v>
      </c>
      <c r="H152" t="s">
        <v>38</v>
      </c>
      <c r="I152" t="s">
        <v>76</v>
      </c>
      <c r="J152" t="s">
        <v>49</v>
      </c>
      <c r="K152" t="s">
        <v>225</v>
      </c>
      <c r="L152" t="s">
        <v>42</v>
      </c>
      <c r="M152" t="s">
        <v>30</v>
      </c>
      <c r="N152" t="s">
        <v>52</v>
      </c>
      <c r="O152">
        <v>5</v>
      </c>
      <c r="P152" t="s">
        <v>32</v>
      </c>
      <c r="Q152">
        <v>15</v>
      </c>
      <c r="R152">
        <v>281887</v>
      </c>
      <c r="S152">
        <v>1350000</v>
      </c>
      <c r="T152" s="3">
        <v>8568113</v>
      </c>
    </row>
    <row r="153" spans="1:20" x14ac:dyDescent="0.3">
      <c r="A153">
        <v>1152</v>
      </c>
      <c r="B153" t="s">
        <v>60</v>
      </c>
      <c r="C153" t="s">
        <v>34</v>
      </c>
      <c r="D153">
        <v>59</v>
      </c>
      <c r="E153" t="s">
        <v>118</v>
      </c>
      <c r="F153" t="s">
        <v>23</v>
      </c>
      <c r="G153" t="s">
        <v>56</v>
      </c>
      <c r="H153" t="s">
        <v>57</v>
      </c>
      <c r="I153" t="s">
        <v>97</v>
      </c>
      <c r="J153" t="s">
        <v>40</v>
      </c>
      <c r="K153" t="s">
        <v>100</v>
      </c>
      <c r="L153" t="s">
        <v>71</v>
      </c>
      <c r="M153" t="s">
        <v>78</v>
      </c>
      <c r="N153" t="s">
        <v>31</v>
      </c>
      <c r="O153">
        <v>4</v>
      </c>
      <c r="P153" t="s">
        <v>53</v>
      </c>
      <c r="Q153">
        <v>17</v>
      </c>
      <c r="R153">
        <v>265981</v>
      </c>
      <c r="S153">
        <v>1350000</v>
      </c>
      <c r="T153" s="3">
        <v>8584019</v>
      </c>
    </row>
    <row r="154" spans="1:20" x14ac:dyDescent="0.3">
      <c r="A154">
        <v>1153</v>
      </c>
      <c r="B154" t="s">
        <v>60</v>
      </c>
      <c r="C154" t="s">
        <v>21</v>
      </c>
      <c r="D154">
        <v>44</v>
      </c>
      <c r="E154" t="s">
        <v>68</v>
      </c>
      <c r="F154" t="s">
        <v>36</v>
      </c>
      <c r="G154" t="s">
        <v>105</v>
      </c>
      <c r="H154" t="s">
        <v>106</v>
      </c>
      <c r="I154" t="s">
        <v>97</v>
      </c>
      <c r="J154" t="s">
        <v>27</v>
      </c>
      <c r="K154" t="s">
        <v>226</v>
      </c>
      <c r="L154" t="s">
        <v>66</v>
      </c>
      <c r="M154" t="s">
        <v>78</v>
      </c>
      <c r="N154" t="s">
        <v>31</v>
      </c>
      <c r="O154">
        <v>4</v>
      </c>
      <c r="P154" t="s">
        <v>86</v>
      </c>
      <c r="Q154">
        <v>10</v>
      </c>
      <c r="R154">
        <v>80414</v>
      </c>
      <c r="S154">
        <v>846000</v>
      </c>
      <c r="T154" s="3">
        <v>5465586</v>
      </c>
    </row>
    <row r="155" spans="1:20" x14ac:dyDescent="0.3">
      <c r="A155">
        <v>1154</v>
      </c>
      <c r="B155" t="s">
        <v>101</v>
      </c>
      <c r="C155" t="s">
        <v>21</v>
      </c>
      <c r="D155">
        <v>39</v>
      </c>
      <c r="E155" t="s">
        <v>90</v>
      </c>
      <c r="F155" t="s">
        <v>36</v>
      </c>
      <c r="G155" t="s">
        <v>105</v>
      </c>
      <c r="H155" t="s">
        <v>106</v>
      </c>
      <c r="I155" t="s">
        <v>26</v>
      </c>
      <c r="J155" t="s">
        <v>27</v>
      </c>
      <c r="K155" t="s">
        <v>227</v>
      </c>
      <c r="L155" t="s">
        <v>71</v>
      </c>
      <c r="M155" t="s">
        <v>51</v>
      </c>
      <c r="N155" t="s">
        <v>31</v>
      </c>
      <c r="O155">
        <v>4</v>
      </c>
      <c r="P155" t="s">
        <v>86</v>
      </c>
      <c r="Q155">
        <v>13</v>
      </c>
      <c r="R155">
        <v>173787</v>
      </c>
      <c r="S155">
        <v>702000</v>
      </c>
      <c r="T155" s="3">
        <v>4428213</v>
      </c>
    </row>
    <row r="156" spans="1:20" x14ac:dyDescent="0.3">
      <c r="A156">
        <v>1155</v>
      </c>
      <c r="B156" t="s">
        <v>72</v>
      </c>
      <c r="C156" t="s">
        <v>34</v>
      </c>
      <c r="D156">
        <v>37</v>
      </c>
      <c r="E156" t="s">
        <v>46</v>
      </c>
      <c r="F156" t="s">
        <v>23</v>
      </c>
      <c r="G156" t="s">
        <v>69</v>
      </c>
      <c r="H156" t="s">
        <v>69</v>
      </c>
      <c r="I156" t="s">
        <v>76</v>
      </c>
      <c r="J156" t="s">
        <v>49</v>
      </c>
      <c r="K156" t="s">
        <v>228</v>
      </c>
      <c r="L156" t="s">
        <v>42</v>
      </c>
      <c r="M156" t="s">
        <v>94</v>
      </c>
      <c r="N156" t="s">
        <v>31</v>
      </c>
      <c r="O156">
        <v>2</v>
      </c>
      <c r="P156" t="s">
        <v>86</v>
      </c>
      <c r="Q156">
        <v>20</v>
      </c>
      <c r="R156">
        <v>110905</v>
      </c>
      <c r="S156">
        <v>5760000</v>
      </c>
      <c r="T156" s="3">
        <v>37649095</v>
      </c>
    </row>
    <row r="157" spans="1:20" x14ac:dyDescent="0.3">
      <c r="A157">
        <v>1156</v>
      </c>
      <c r="B157" t="s">
        <v>67</v>
      </c>
      <c r="C157" t="s">
        <v>34</v>
      </c>
      <c r="D157">
        <v>50</v>
      </c>
      <c r="E157" t="s">
        <v>112</v>
      </c>
      <c r="F157" t="s">
        <v>23</v>
      </c>
      <c r="G157" t="s">
        <v>24</v>
      </c>
      <c r="H157" t="s">
        <v>25</v>
      </c>
      <c r="I157" t="s">
        <v>48</v>
      </c>
      <c r="J157" t="s">
        <v>87</v>
      </c>
      <c r="K157" t="s">
        <v>229</v>
      </c>
      <c r="L157" t="s">
        <v>71</v>
      </c>
      <c r="M157" t="s">
        <v>78</v>
      </c>
      <c r="N157" t="s">
        <v>52</v>
      </c>
      <c r="O157">
        <v>2</v>
      </c>
      <c r="P157" t="s">
        <v>86</v>
      </c>
      <c r="Q157">
        <v>9</v>
      </c>
      <c r="R157">
        <v>169630</v>
      </c>
      <c r="S157">
        <v>936000</v>
      </c>
      <c r="T157" s="3">
        <v>5966370</v>
      </c>
    </row>
    <row r="158" spans="1:20" x14ac:dyDescent="0.3">
      <c r="A158">
        <v>1157</v>
      </c>
      <c r="B158" t="s">
        <v>33</v>
      </c>
      <c r="C158" t="s">
        <v>34</v>
      </c>
      <c r="D158">
        <v>29</v>
      </c>
      <c r="E158" t="s">
        <v>118</v>
      </c>
      <c r="F158" t="s">
        <v>36</v>
      </c>
      <c r="G158" t="s">
        <v>56</v>
      </c>
      <c r="H158" t="s">
        <v>57</v>
      </c>
      <c r="I158" t="s">
        <v>26</v>
      </c>
      <c r="J158" t="s">
        <v>40</v>
      </c>
      <c r="K158" t="s">
        <v>230</v>
      </c>
      <c r="L158" t="s">
        <v>29</v>
      </c>
      <c r="M158" t="s">
        <v>51</v>
      </c>
      <c r="N158" t="s">
        <v>52</v>
      </c>
      <c r="O158">
        <v>4</v>
      </c>
      <c r="P158" t="s">
        <v>86</v>
      </c>
      <c r="Q158">
        <v>6</v>
      </c>
      <c r="R158">
        <v>99369</v>
      </c>
      <c r="S158">
        <v>1350000</v>
      </c>
      <c r="T158" s="3">
        <v>8750631</v>
      </c>
    </row>
    <row r="159" spans="1:20" x14ac:dyDescent="0.3">
      <c r="A159">
        <v>1158</v>
      </c>
      <c r="B159" t="s">
        <v>95</v>
      </c>
      <c r="C159" t="s">
        <v>21</v>
      </c>
      <c r="D159">
        <v>32</v>
      </c>
      <c r="E159" t="s">
        <v>61</v>
      </c>
      <c r="F159" t="s">
        <v>36</v>
      </c>
      <c r="G159" t="s">
        <v>69</v>
      </c>
      <c r="H159" t="s">
        <v>69</v>
      </c>
      <c r="I159" t="s">
        <v>97</v>
      </c>
      <c r="J159" t="s">
        <v>27</v>
      </c>
      <c r="K159" t="s">
        <v>231</v>
      </c>
      <c r="L159" t="s">
        <v>42</v>
      </c>
      <c r="M159" t="s">
        <v>94</v>
      </c>
      <c r="N159" t="s">
        <v>52</v>
      </c>
      <c r="O159">
        <v>2</v>
      </c>
      <c r="P159" t="s">
        <v>44</v>
      </c>
      <c r="Q159">
        <v>22</v>
      </c>
      <c r="R159">
        <v>73117</v>
      </c>
      <c r="S159">
        <v>2250000</v>
      </c>
      <c r="T159" s="3">
        <v>14676883</v>
      </c>
    </row>
    <row r="160" spans="1:20" x14ac:dyDescent="0.3">
      <c r="A160">
        <v>1159</v>
      </c>
      <c r="B160" t="s">
        <v>72</v>
      </c>
      <c r="C160" t="s">
        <v>21</v>
      </c>
      <c r="D160">
        <v>36</v>
      </c>
      <c r="E160" t="s">
        <v>68</v>
      </c>
      <c r="F160" t="s">
        <v>23</v>
      </c>
      <c r="G160" t="s">
        <v>63</v>
      </c>
      <c r="H160" t="s">
        <v>64</v>
      </c>
      <c r="I160" t="s">
        <v>76</v>
      </c>
      <c r="J160" t="s">
        <v>87</v>
      </c>
      <c r="K160" t="s">
        <v>107</v>
      </c>
      <c r="L160" t="s">
        <v>29</v>
      </c>
      <c r="M160" t="s">
        <v>43</v>
      </c>
      <c r="N160" t="s">
        <v>31</v>
      </c>
      <c r="O160">
        <v>5</v>
      </c>
      <c r="P160" t="s">
        <v>44</v>
      </c>
      <c r="Q160">
        <v>13</v>
      </c>
      <c r="R160">
        <v>189095</v>
      </c>
      <c r="S160">
        <v>846000</v>
      </c>
      <c r="T160" s="3">
        <v>5356905</v>
      </c>
    </row>
    <row r="161" spans="1:20" x14ac:dyDescent="0.3">
      <c r="A161">
        <v>1160</v>
      </c>
      <c r="B161" t="s">
        <v>54</v>
      </c>
      <c r="C161" t="s">
        <v>34</v>
      </c>
      <c r="D161">
        <v>47</v>
      </c>
      <c r="E161" t="s">
        <v>73</v>
      </c>
      <c r="F161" t="s">
        <v>36</v>
      </c>
      <c r="G161" t="s">
        <v>69</v>
      </c>
      <c r="H161" t="s">
        <v>69</v>
      </c>
      <c r="I161" t="s">
        <v>26</v>
      </c>
      <c r="J161" t="s">
        <v>49</v>
      </c>
      <c r="K161" t="s">
        <v>232</v>
      </c>
      <c r="L161" t="s">
        <v>71</v>
      </c>
      <c r="M161" t="s">
        <v>78</v>
      </c>
      <c r="N161" t="s">
        <v>31</v>
      </c>
      <c r="O161">
        <v>3</v>
      </c>
      <c r="P161" t="s">
        <v>44</v>
      </c>
      <c r="Q161">
        <v>17</v>
      </c>
      <c r="R161">
        <v>195142</v>
      </c>
      <c r="S161">
        <v>1224000</v>
      </c>
      <c r="T161" s="3">
        <v>7828858</v>
      </c>
    </row>
    <row r="162" spans="1:20" x14ac:dyDescent="0.3">
      <c r="A162">
        <v>1161</v>
      </c>
      <c r="B162" t="s">
        <v>108</v>
      </c>
      <c r="C162" t="s">
        <v>21</v>
      </c>
      <c r="D162">
        <v>60</v>
      </c>
      <c r="E162" t="s">
        <v>46</v>
      </c>
      <c r="F162" t="s">
        <v>62</v>
      </c>
      <c r="G162" t="s">
        <v>37</v>
      </c>
      <c r="H162" t="s">
        <v>38</v>
      </c>
      <c r="I162" t="s">
        <v>97</v>
      </c>
      <c r="J162" t="s">
        <v>49</v>
      </c>
      <c r="K162" t="s">
        <v>233</v>
      </c>
      <c r="L162" t="s">
        <v>66</v>
      </c>
      <c r="M162" t="s">
        <v>94</v>
      </c>
      <c r="N162" t="s">
        <v>31</v>
      </c>
      <c r="O162">
        <v>2</v>
      </c>
      <c r="P162" t="s">
        <v>86</v>
      </c>
      <c r="Q162">
        <v>7</v>
      </c>
      <c r="R162">
        <v>290342</v>
      </c>
      <c r="S162">
        <v>5760000</v>
      </c>
      <c r="T162" s="3">
        <v>37469658</v>
      </c>
    </row>
    <row r="163" spans="1:20" x14ac:dyDescent="0.3">
      <c r="A163">
        <v>1162</v>
      </c>
      <c r="B163" t="s">
        <v>20</v>
      </c>
      <c r="C163" t="s">
        <v>21</v>
      </c>
      <c r="D163">
        <v>36</v>
      </c>
      <c r="E163" t="s">
        <v>46</v>
      </c>
      <c r="F163" t="s">
        <v>36</v>
      </c>
      <c r="G163" t="s">
        <v>105</v>
      </c>
      <c r="H163" t="s">
        <v>106</v>
      </c>
      <c r="I163" t="s">
        <v>39</v>
      </c>
      <c r="J163" t="s">
        <v>49</v>
      </c>
      <c r="K163" t="s">
        <v>234</v>
      </c>
      <c r="L163" t="s">
        <v>66</v>
      </c>
      <c r="M163" t="s">
        <v>51</v>
      </c>
      <c r="N163" t="s">
        <v>52</v>
      </c>
      <c r="O163">
        <v>3</v>
      </c>
      <c r="P163" t="s">
        <v>44</v>
      </c>
      <c r="Q163">
        <v>9</v>
      </c>
      <c r="R163">
        <v>66352</v>
      </c>
      <c r="S163">
        <v>5760000</v>
      </c>
      <c r="T163" s="3">
        <v>37693648</v>
      </c>
    </row>
    <row r="164" spans="1:20" x14ac:dyDescent="0.3">
      <c r="A164">
        <v>1163</v>
      </c>
      <c r="B164" t="s">
        <v>101</v>
      </c>
      <c r="C164" t="s">
        <v>34</v>
      </c>
      <c r="D164">
        <v>32</v>
      </c>
      <c r="E164" t="s">
        <v>118</v>
      </c>
      <c r="F164" t="s">
        <v>55</v>
      </c>
      <c r="G164" t="s">
        <v>63</v>
      </c>
      <c r="H164" t="s">
        <v>64</v>
      </c>
      <c r="I164" t="s">
        <v>26</v>
      </c>
      <c r="J164" t="s">
        <v>87</v>
      </c>
      <c r="K164" t="s">
        <v>235</v>
      </c>
      <c r="L164" t="s">
        <v>66</v>
      </c>
      <c r="M164" t="s">
        <v>51</v>
      </c>
      <c r="N164" t="s">
        <v>52</v>
      </c>
      <c r="O164">
        <v>3</v>
      </c>
      <c r="P164" t="s">
        <v>32</v>
      </c>
      <c r="Q164">
        <v>25</v>
      </c>
      <c r="R164">
        <v>220770</v>
      </c>
      <c r="S164">
        <v>1350000</v>
      </c>
      <c r="T164" s="3">
        <v>8629230</v>
      </c>
    </row>
    <row r="165" spans="1:20" x14ac:dyDescent="0.3">
      <c r="A165">
        <v>1164</v>
      </c>
      <c r="B165" t="s">
        <v>104</v>
      </c>
      <c r="C165" t="s">
        <v>21</v>
      </c>
      <c r="D165">
        <v>26</v>
      </c>
      <c r="E165" t="s">
        <v>73</v>
      </c>
      <c r="F165" t="s">
        <v>55</v>
      </c>
      <c r="G165" t="s">
        <v>63</v>
      </c>
      <c r="H165" t="s">
        <v>64</v>
      </c>
      <c r="I165" t="s">
        <v>39</v>
      </c>
      <c r="J165" t="s">
        <v>27</v>
      </c>
      <c r="K165" t="s">
        <v>124</v>
      </c>
      <c r="L165" t="s">
        <v>42</v>
      </c>
      <c r="M165" t="s">
        <v>78</v>
      </c>
      <c r="N165" t="s">
        <v>31</v>
      </c>
      <c r="O165">
        <v>5</v>
      </c>
      <c r="P165" t="s">
        <v>86</v>
      </c>
      <c r="Q165">
        <v>11</v>
      </c>
      <c r="R165">
        <v>258450</v>
      </c>
      <c r="S165">
        <v>1224000</v>
      </c>
      <c r="T165" s="3">
        <v>7765550</v>
      </c>
    </row>
    <row r="166" spans="1:20" x14ac:dyDescent="0.3">
      <c r="A166">
        <v>1165</v>
      </c>
      <c r="B166" t="s">
        <v>108</v>
      </c>
      <c r="C166" t="s">
        <v>34</v>
      </c>
      <c r="D166">
        <v>34</v>
      </c>
      <c r="E166" t="s">
        <v>73</v>
      </c>
      <c r="F166" t="s">
        <v>23</v>
      </c>
      <c r="G166" t="s">
        <v>69</v>
      </c>
      <c r="H166" t="s">
        <v>69</v>
      </c>
      <c r="I166" t="s">
        <v>26</v>
      </c>
      <c r="J166" t="s">
        <v>40</v>
      </c>
      <c r="K166" t="s">
        <v>236</v>
      </c>
      <c r="L166" t="s">
        <v>59</v>
      </c>
      <c r="M166" t="s">
        <v>43</v>
      </c>
      <c r="N166" t="s">
        <v>31</v>
      </c>
      <c r="O166">
        <v>4</v>
      </c>
      <c r="P166" t="s">
        <v>44</v>
      </c>
      <c r="Q166">
        <v>10</v>
      </c>
      <c r="R166">
        <v>178085</v>
      </c>
      <c r="S166">
        <v>1224000</v>
      </c>
      <c r="T166" s="3">
        <v>7845915</v>
      </c>
    </row>
    <row r="167" spans="1:20" x14ac:dyDescent="0.3">
      <c r="A167">
        <v>1166</v>
      </c>
      <c r="B167" t="s">
        <v>108</v>
      </c>
      <c r="C167" t="s">
        <v>21</v>
      </c>
      <c r="D167">
        <v>43</v>
      </c>
      <c r="E167" t="s">
        <v>82</v>
      </c>
      <c r="F167" t="s">
        <v>62</v>
      </c>
      <c r="G167" t="s">
        <v>69</v>
      </c>
      <c r="H167" t="s">
        <v>69</v>
      </c>
      <c r="I167" t="s">
        <v>39</v>
      </c>
      <c r="J167" t="s">
        <v>40</v>
      </c>
      <c r="K167" t="s">
        <v>237</v>
      </c>
      <c r="L167" t="s">
        <v>59</v>
      </c>
      <c r="M167" t="s">
        <v>78</v>
      </c>
      <c r="N167" t="s">
        <v>52</v>
      </c>
      <c r="O167">
        <v>4</v>
      </c>
      <c r="P167" t="s">
        <v>86</v>
      </c>
      <c r="Q167">
        <v>23</v>
      </c>
      <c r="R167">
        <v>60017</v>
      </c>
      <c r="S167">
        <v>1098000</v>
      </c>
      <c r="T167" s="3">
        <v>7137983</v>
      </c>
    </row>
    <row r="168" spans="1:20" x14ac:dyDescent="0.3">
      <c r="A168">
        <v>1167</v>
      </c>
      <c r="B168" t="s">
        <v>81</v>
      </c>
      <c r="C168" t="s">
        <v>21</v>
      </c>
      <c r="D168">
        <v>39</v>
      </c>
      <c r="E168" t="s">
        <v>82</v>
      </c>
      <c r="F168" t="s">
        <v>23</v>
      </c>
      <c r="G168" t="s">
        <v>37</v>
      </c>
      <c r="H168" t="s">
        <v>38</v>
      </c>
      <c r="I168" t="s">
        <v>76</v>
      </c>
      <c r="J168" t="s">
        <v>40</v>
      </c>
      <c r="K168" t="s">
        <v>238</v>
      </c>
      <c r="L168" t="s">
        <v>29</v>
      </c>
      <c r="M168" t="s">
        <v>43</v>
      </c>
      <c r="N168" t="s">
        <v>52</v>
      </c>
      <c r="O168">
        <v>2</v>
      </c>
      <c r="P168" t="s">
        <v>86</v>
      </c>
      <c r="Q168">
        <v>16</v>
      </c>
      <c r="R168">
        <v>61660</v>
      </c>
      <c r="S168">
        <v>1098000</v>
      </c>
      <c r="T168" s="3">
        <v>7136340</v>
      </c>
    </row>
    <row r="169" spans="1:20" x14ac:dyDescent="0.3">
      <c r="A169">
        <v>1168</v>
      </c>
      <c r="B169" t="s">
        <v>104</v>
      </c>
      <c r="C169" t="s">
        <v>34</v>
      </c>
      <c r="D169">
        <v>25</v>
      </c>
      <c r="E169" t="s">
        <v>61</v>
      </c>
      <c r="F169" t="s">
        <v>55</v>
      </c>
      <c r="G169" t="s">
        <v>115</v>
      </c>
      <c r="H169" t="s">
        <v>106</v>
      </c>
      <c r="I169" t="s">
        <v>48</v>
      </c>
      <c r="J169" t="s">
        <v>87</v>
      </c>
      <c r="K169" t="s">
        <v>239</v>
      </c>
      <c r="L169" t="s">
        <v>71</v>
      </c>
      <c r="M169" t="s">
        <v>78</v>
      </c>
      <c r="N169" t="s">
        <v>31</v>
      </c>
      <c r="O169">
        <v>4</v>
      </c>
      <c r="P169" t="s">
        <v>53</v>
      </c>
      <c r="Q169">
        <v>7</v>
      </c>
      <c r="R169">
        <v>180293</v>
      </c>
      <c r="S169">
        <v>2250000</v>
      </c>
      <c r="T169" s="3">
        <v>14569707</v>
      </c>
    </row>
    <row r="170" spans="1:20" x14ac:dyDescent="0.3">
      <c r="A170">
        <v>1169</v>
      </c>
      <c r="B170" t="s">
        <v>60</v>
      </c>
      <c r="C170" t="s">
        <v>21</v>
      </c>
      <c r="D170">
        <v>49</v>
      </c>
      <c r="E170" t="s">
        <v>73</v>
      </c>
      <c r="F170" t="s">
        <v>62</v>
      </c>
      <c r="G170" t="s">
        <v>24</v>
      </c>
      <c r="H170" t="s">
        <v>25</v>
      </c>
      <c r="I170" t="s">
        <v>39</v>
      </c>
      <c r="J170" t="s">
        <v>40</v>
      </c>
      <c r="K170" t="s">
        <v>240</v>
      </c>
      <c r="L170" t="s">
        <v>42</v>
      </c>
      <c r="M170" t="s">
        <v>43</v>
      </c>
      <c r="N170" t="s">
        <v>52</v>
      </c>
      <c r="O170">
        <v>4</v>
      </c>
      <c r="P170" t="s">
        <v>86</v>
      </c>
      <c r="Q170">
        <v>17</v>
      </c>
      <c r="R170">
        <v>211101</v>
      </c>
      <c r="S170">
        <v>1224000</v>
      </c>
      <c r="T170" s="3">
        <v>7812899</v>
      </c>
    </row>
    <row r="171" spans="1:20" x14ac:dyDescent="0.3">
      <c r="A171">
        <v>1170</v>
      </c>
      <c r="B171" t="s">
        <v>99</v>
      </c>
      <c r="C171" t="s">
        <v>34</v>
      </c>
      <c r="D171">
        <v>41</v>
      </c>
      <c r="E171" t="s">
        <v>61</v>
      </c>
      <c r="F171" t="s">
        <v>23</v>
      </c>
      <c r="G171" t="s">
        <v>91</v>
      </c>
      <c r="H171" t="s">
        <v>25</v>
      </c>
      <c r="I171" t="s">
        <v>76</v>
      </c>
      <c r="J171" t="s">
        <v>49</v>
      </c>
      <c r="K171" t="s">
        <v>158</v>
      </c>
      <c r="L171" t="s">
        <v>71</v>
      </c>
      <c r="M171" t="s">
        <v>94</v>
      </c>
      <c r="N171" t="s">
        <v>31</v>
      </c>
      <c r="O171">
        <v>3</v>
      </c>
      <c r="P171" t="s">
        <v>32</v>
      </c>
      <c r="Q171">
        <v>21</v>
      </c>
      <c r="R171">
        <v>153025</v>
      </c>
      <c r="S171">
        <v>2250000</v>
      </c>
      <c r="T171" s="3">
        <v>14596975</v>
      </c>
    </row>
    <row r="172" spans="1:20" x14ac:dyDescent="0.3">
      <c r="A172">
        <v>1171</v>
      </c>
      <c r="B172" t="s">
        <v>95</v>
      </c>
      <c r="C172" t="s">
        <v>21</v>
      </c>
      <c r="D172">
        <v>49</v>
      </c>
      <c r="E172" t="s">
        <v>118</v>
      </c>
      <c r="F172" t="s">
        <v>55</v>
      </c>
      <c r="G172" t="s">
        <v>37</v>
      </c>
      <c r="H172" t="s">
        <v>38</v>
      </c>
      <c r="I172" t="s">
        <v>48</v>
      </c>
      <c r="J172" t="s">
        <v>49</v>
      </c>
      <c r="K172" t="s">
        <v>241</v>
      </c>
      <c r="L172" t="s">
        <v>42</v>
      </c>
      <c r="M172" t="s">
        <v>30</v>
      </c>
      <c r="N172" t="s">
        <v>31</v>
      </c>
      <c r="O172">
        <v>5</v>
      </c>
      <c r="P172" t="s">
        <v>86</v>
      </c>
      <c r="Q172">
        <v>16</v>
      </c>
      <c r="R172">
        <v>287025</v>
      </c>
      <c r="S172">
        <v>1350000</v>
      </c>
      <c r="T172" s="3">
        <v>8562975</v>
      </c>
    </row>
    <row r="173" spans="1:20" x14ac:dyDescent="0.3">
      <c r="A173">
        <v>1172</v>
      </c>
      <c r="B173" t="s">
        <v>20</v>
      </c>
      <c r="C173" t="s">
        <v>34</v>
      </c>
      <c r="D173">
        <v>51</v>
      </c>
      <c r="E173" t="s">
        <v>35</v>
      </c>
      <c r="F173" t="s">
        <v>23</v>
      </c>
      <c r="G173" t="s">
        <v>37</v>
      </c>
      <c r="H173" t="s">
        <v>38</v>
      </c>
      <c r="I173" t="s">
        <v>76</v>
      </c>
      <c r="J173" t="s">
        <v>87</v>
      </c>
      <c r="K173" t="s">
        <v>242</v>
      </c>
      <c r="L173" t="s">
        <v>71</v>
      </c>
      <c r="M173" t="s">
        <v>30</v>
      </c>
      <c r="N173" t="s">
        <v>52</v>
      </c>
      <c r="O173">
        <v>3</v>
      </c>
      <c r="P173" t="s">
        <v>86</v>
      </c>
      <c r="Q173">
        <v>17</v>
      </c>
      <c r="R173">
        <v>92549</v>
      </c>
      <c r="S173">
        <v>1764000</v>
      </c>
      <c r="T173" s="3">
        <v>11471451</v>
      </c>
    </row>
    <row r="174" spans="1:20" x14ac:dyDescent="0.3">
      <c r="A174">
        <v>1173</v>
      </c>
      <c r="B174" t="s">
        <v>104</v>
      </c>
      <c r="C174" t="s">
        <v>34</v>
      </c>
      <c r="D174">
        <v>39</v>
      </c>
      <c r="E174" t="s">
        <v>82</v>
      </c>
      <c r="F174" t="s">
        <v>62</v>
      </c>
      <c r="G174" t="s">
        <v>69</v>
      </c>
      <c r="H174" t="s">
        <v>69</v>
      </c>
      <c r="I174" t="s">
        <v>97</v>
      </c>
      <c r="J174" t="s">
        <v>40</v>
      </c>
      <c r="K174" t="s">
        <v>243</v>
      </c>
      <c r="L174" t="s">
        <v>29</v>
      </c>
      <c r="M174" t="s">
        <v>78</v>
      </c>
      <c r="N174" t="s">
        <v>31</v>
      </c>
      <c r="O174">
        <v>5</v>
      </c>
      <c r="P174" t="s">
        <v>86</v>
      </c>
      <c r="Q174">
        <v>25</v>
      </c>
      <c r="R174">
        <v>285743</v>
      </c>
      <c r="S174">
        <v>1098000</v>
      </c>
      <c r="T174" s="3">
        <v>6912257</v>
      </c>
    </row>
    <row r="175" spans="1:20" x14ac:dyDescent="0.3">
      <c r="A175">
        <v>1174</v>
      </c>
      <c r="B175" t="s">
        <v>72</v>
      </c>
      <c r="C175" t="s">
        <v>34</v>
      </c>
      <c r="D175">
        <v>29</v>
      </c>
      <c r="E175" t="s">
        <v>82</v>
      </c>
      <c r="F175" t="s">
        <v>62</v>
      </c>
      <c r="G175" t="s">
        <v>115</v>
      </c>
      <c r="H175" t="s">
        <v>106</v>
      </c>
      <c r="I175" t="s">
        <v>76</v>
      </c>
      <c r="J175" t="s">
        <v>40</v>
      </c>
      <c r="K175" t="s">
        <v>244</v>
      </c>
      <c r="L175" t="s">
        <v>29</v>
      </c>
      <c r="M175" t="s">
        <v>51</v>
      </c>
      <c r="N175" t="s">
        <v>52</v>
      </c>
      <c r="O175">
        <v>3</v>
      </c>
      <c r="P175" t="s">
        <v>32</v>
      </c>
      <c r="Q175">
        <v>6</v>
      </c>
      <c r="R175">
        <v>69079</v>
      </c>
      <c r="S175">
        <v>1098000</v>
      </c>
      <c r="T175" s="3">
        <v>7128921</v>
      </c>
    </row>
    <row r="176" spans="1:20" x14ac:dyDescent="0.3">
      <c r="A176">
        <v>1175</v>
      </c>
      <c r="B176" t="s">
        <v>20</v>
      </c>
      <c r="C176" t="s">
        <v>21</v>
      </c>
      <c r="D176">
        <v>32</v>
      </c>
      <c r="E176" t="s">
        <v>90</v>
      </c>
      <c r="F176" t="s">
        <v>36</v>
      </c>
      <c r="G176" t="s">
        <v>47</v>
      </c>
      <c r="H176" t="s">
        <v>25</v>
      </c>
      <c r="I176" t="s">
        <v>97</v>
      </c>
      <c r="J176" t="s">
        <v>87</v>
      </c>
      <c r="K176" t="s">
        <v>245</v>
      </c>
      <c r="L176" t="s">
        <v>59</v>
      </c>
      <c r="M176" t="s">
        <v>43</v>
      </c>
      <c r="N176" t="s">
        <v>31</v>
      </c>
      <c r="O176">
        <v>5</v>
      </c>
      <c r="P176" t="s">
        <v>53</v>
      </c>
      <c r="Q176">
        <v>9</v>
      </c>
      <c r="R176">
        <v>167241</v>
      </c>
      <c r="S176">
        <v>702000</v>
      </c>
      <c r="T176" s="3">
        <v>4434759</v>
      </c>
    </row>
    <row r="177" spans="1:20" x14ac:dyDescent="0.3">
      <c r="A177">
        <v>1176</v>
      </c>
      <c r="B177" t="s">
        <v>33</v>
      </c>
      <c r="C177" t="s">
        <v>34</v>
      </c>
      <c r="D177">
        <v>25</v>
      </c>
      <c r="E177" t="s">
        <v>68</v>
      </c>
      <c r="F177" t="s">
        <v>36</v>
      </c>
      <c r="G177" t="s">
        <v>105</v>
      </c>
      <c r="H177" t="s">
        <v>106</v>
      </c>
      <c r="I177" t="s">
        <v>26</v>
      </c>
      <c r="J177" t="s">
        <v>87</v>
      </c>
      <c r="K177" t="s">
        <v>246</v>
      </c>
      <c r="L177" t="s">
        <v>66</v>
      </c>
      <c r="M177" t="s">
        <v>94</v>
      </c>
      <c r="N177" t="s">
        <v>52</v>
      </c>
      <c r="O177">
        <v>5</v>
      </c>
      <c r="P177" t="s">
        <v>53</v>
      </c>
      <c r="Q177">
        <v>24</v>
      </c>
      <c r="R177">
        <v>180382</v>
      </c>
      <c r="S177">
        <v>846000</v>
      </c>
      <c r="T177" s="3">
        <v>5365618</v>
      </c>
    </row>
    <row r="178" spans="1:20" x14ac:dyDescent="0.3">
      <c r="A178">
        <v>1177</v>
      </c>
      <c r="B178" t="s">
        <v>95</v>
      </c>
      <c r="C178" t="s">
        <v>34</v>
      </c>
      <c r="D178">
        <v>30</v>
      </c>
      <c r="E178" t="s">
        <v>22</v>
      </c>
      <c r="F178" t="s">
        <v>62</v>
      </c>
      <c r="G178" t="s">
        <v>56</v>
      </c>
      <c r="H178" t="s">
        <v>57</v>
      </c>
      <c r="I178" t="s">
        <v>26</v>
      </c>
      <c r="J178" t="s">
        <v>87</v>
      </c>
      <c r="K178" t="s">
        <v>247</v>
      </c>
      <c r="L178" t="s">
        <v>29</v>
      </c>
      <c r="M178" t="s">
        <v>51</v>
      </c>
      <c r="N178" t="s">
        <v>31</v>
      </c>
      <c r="O178">
        <v>5</v>
      </c>
      <c r="P178" t="s">
        <v>86</v>
      </c>
      <c r="Q178">
        <v>20</v>
      </c>
      <c r="R178">
        <v>119292</v>
      </c>
      <c r="S178">
        <v>756000</v>
      </c>
      <c r="T178" s="3">
        <v>4836708</v>
      </c>
    </row>
    <row r="179" spans="1:20" x14ac:dyDescent="0.3">
      <c r="A179">
        <v>1178</v>
      </c>
      <c r="B179" t="s">
        <v>54</v>
      </c>
      <c r="C179" t="s">
        <v>21</v>
      </c>
      <c r="D179">
        <v>43</v>
      </c>
      <c r="E179" t="s">
        <v>22</v>
      </c>
      <c r="F179" t="s">
        <v>23</v>
      </c>
      <c r="G179" t="s">
        <v>24</v>
      </c>
      <c r="H179" t="s">
        <v>25</v>
      </c>
      <c r="I179" t="s">
        <v>39</v>
      </c>
      <c r="J179" t="s">
        <v>40</v>
      </c>
      <c r="K179" t="s">
        <v>248</v>
      </c>
      <c r="L179" t="s">
        <v>29</v>
      </c>
      <c r="M179" t="s">
        <v>43</v>
      </c>
      <c r="N179" t="s">
        <v>31</v>
      </c>
      <c r="O179">
        <v>5</v>
      </c>
      <c r="P179" t="s">
        <v>44</v>
      </c>
      <c r="Q179">
        <v>11</v>
      </c>
      <c r="R179">
        <v>61440</v>
      </c>
      <c r="S179">
        <v>756000</v>
      </c>
      <c r="T179" s="3">
        <v>4894560</v>
      </c>
    </row>
    <row r="180" spans="1:20" x14ac:dyDescent="0.3">
      <c r="A180">
        <v>1179</v>
      </c>
      <c r="B180" t="s">
        <v>79</v>
      </c>
      <c r="C180" t="s">
        <v>21</v>
      </c>
      <c r="D180">
        <v>32</v>
      </c>
      <c r="E180" t="s">
        <v>112</v>
      </c>
      <c r="F180" t="s">
        <v>62</v>
      </c>
      <c r="G180" t="s">
        <v>24</v>
      </c>
      <c r="H180" t="s">
        <v>25</v>
      </c>
      <c r="I180" t="s">
        <v>26</v>
      </c>
      <c r="J180" t="s">
        <v>40</v>
      </c>
      <c r="K180" t="s">
        <v>249</v>
      </c>
      <c r="L180" t="s">
        <v>42</v>
      </c>
      <c r="M180" t="s">
        <v>78</v>
      </c>
      <c r="N180" t="s">
        <v>52</v>
      </c>
      <c r="O180">
        <v>5</v>
      </c>
      <c r="P180" t="s">
        <v>53</v>
      </c>
      <c r="Q180">
        <v>18</v>
      </c>
      <c r="R180">
        <v>121922</v>
      </c>
      <c r="S180">
        <v>936000</v>
      </c>
      <c r="T180" s="3">
        <v>6014078</v>
      </c>
    </row>
    <row r="181" spans="1:20" x14ac:dyDescent="0.3">
      <c r="A181">
        <v>1180</v>
      </c>
      <c r="B181" t="s">
        <v>99</v>
      </c>
      <c r="C181" t="s">
        <v>34</v>
      </c>
      <c r="D181">
        <v>49</v>
      </c>
      <c r="E181" t="s">
        <v>46</v>
      </c>
      <c r="F181" t="s">
        <v>23</v>
      </c>
      <c r="G181" t="s">
        <v>115</v>
      </c>
      <c r="H181" t="s">
        <v>106</v>
      </c>
      <c r="I181" t="s">
        <v>26</v>
      </c>
      <c r="J181" t="s">
        <v>87</v>
      </c>
      <c r="K181" t="s">
        <v>250</v>
      </c>
      <c r="L181" t="s">
        <v>29</v>
      </c>
      <c r="M181" t="s">
        <v>94</v>
      </c>
      <c r="N181" t="s">
        <v>31</v>
      </c>
      <c r="O181">
        <v>2</v>
      </c>
      <c r="P181" t="s">
        <v>86</v>
      </c>
      <c r="Q181">
        <v>10</v>
      </c>
      <c r="R181">
        <v>92380</v>
      </c>
      <c r="S181">
        <v>5760000</v>
      </c>
      <c r="T181" s="3">
        <v>37667620</v>
      </c>
    </row>
    <row r="182" spans="1:20" x14ac:dyDescent="0.3">
      <c r="A182">
        <v>1181</v>
      </c>
      <c r="B182" t="s">
        <v>54</v>
      </c>
      <c r="C182" t="s">
        <v>34</v>
      </c>
      <c r="D182">
        <v>26</v>
      </c>
      <c r="E182" t="s">
        <v>22</v>
      </c>
      <c r="F182" t="s">
        <v>55</v>
      </c>
      <c r="G182" t="s">
        <v>47</v>
      </c>
      <c r="H182" t="s">
        <v>25</v>
      </c>
      <c r="I182" t="s">
        <v>48</v>
      </c>
      <c r="J182" t="s">
        <v>49</v>
      </c>
      <c r="K182" t="s">
        <v>251</v>
      </c>
      <c r="L182" t="s">
        <v>59</v>
      </c>
      <c r="M182" t="s">
        <v>78</v>
      </c>
      <c r="N182" t="s">
        <v>31</v>
      </c>
      <c r="O182">
        <v>4</v>
      </c>
      <c r="P182" t="s">
        <v>32</v>
      </c>
      <c r="Q182">
        <v>6</v>
      </c>
      <c r="R182">
        <v>53280</v>
      </c>
      <c r="S182">
        <v>756000</v>
      </c>
      <c r="T182" s="3">
        <v>4902720</v>
      </c>
    </row>
    <row r="183" spans="1:20" x14ac:dyDescent="0.3">
      <c r="A183">
        <v>1182</v>
      </c>
      <c r="B183" t="s">
        <v>114</v>
      </c>
      <c r="C183" t="s">
        <v>21</v>
      </c>
      <c r="D183">
        <v>53</v>
      </c>
      <c r="E183" t="s">
        <v>118</v>
      </c>
      <c r="F183" t="s">
        <v>62</v>
      </c>
      <c r="G183" t="s">
        <v>69</v>
      </c>
      <c r="H183" t="s">
        <v>69</v>
      </c>
      <c r="I183" t="s">
        <v>26</v>
      </c>
      <c r="J183" t="s">
        <v>49</v>
      </c>
      <c r="K183" t="s">
        <v>185</v>
      </c>
      <c r="L183" t="s">
        <v>71</v>
      </c>
      <c r="M183" t="s">
        <v>94</v>
      </c>
      <c r="N183" t="s">
        <v>52</v>
      </c>
      <c r="O183">
        <v>4</v>
      </c>
      <c r="P183" t="s">
        <v>53</v>
      </c>
      <c r="Q183">
        <v>18</v>
      </c>
      <c r="R183">
        <v>279187</v>
      </c>
      <c r="S183">
        <v>1350000</v>
      </c>
      <c r="T183" s="3">
        <v>8570813</v>
      </c>
    </row>
    <row r="184" spans="1:20" x14ac:dyDescent="0.3">
      <c r="A184">
        <v>1183</v>
      </c>
      <c r="B184" t="s">
        <v>81</v>
      </c>
      <c r="C184" t="s">
        <v>21</v>
      </c>
      <c r="D184">
        <v>59</v>
      </c>
      <c r="E184" t="s">
        <v>73</v>
      </c>
      <c r="F184" t="s">
        <v>62</v>
      </c>
      <c r="G184" t="s">
        <v>47</v>
      </c>
      <c r="H184" t="s">
        <v>25</v>
      </c>
      <c r="I184" t="s">
        <v>26</v>
      </c>
      <c r="J184" t="s">
        <v>49</v>
      </c>
      <c r="K184" t="s">
        <v>252</v>
      </c>
      <c r="L184" t="s">
        <v>59</v>
      </c>
      <c r="M184" t="s">
        <v>30</v>
      </c>
      <c r="N184" t="s">
        <v>31</v>
      </c>
      <c r="O184">
        <v>5</v>
      </c>
      <c r="P184" t="s">
        <v>32</v>
      </c>
      <c r="Q184">
        <v>25</v>
      </c>
      <c r="R184">
        <v>203243</v>
      </c>
      <c r="S184">
        <v>1224000</v>
      </c>
      <c r="T184" s="3">
        <v>7820757</v>
      </c>
    </row>
    <row r="185" spans="1:20" x14ac:dyDescent="0.3">
      <c r="A185">
        <v>1184</v>
      </c>
      <c r="B185" t="s">
        <v>54</v>
      </c>
      <c r="C185" t="s">
        <v>21</v>
      </c>
      <c r="D185">
        <v>52</v>
      </c>
      <c r="E185" t="s">
        <v>90</v>
      </c>
      <c r="F185" t="s">
        <v>62</v>
      </c>
      <c r="G185" t="s">
        <v>24</v>
      </c>
      <c r="H185" t="s">
        <v>25</v>
      </c>
      <c r="I185" t="s">
        <v>26</v>
      </c>
      <c r="J185" t="s">
        <v>27</v>
      </c>
      <c r="K185" t="s">
        <v>147</v>
      </c>
      <c r="L185" t="s">
        <v>59</v>
      </c>
      <c r="M185" t="s">
        <v>43</v>
      </c>
      <c r="N185" t="s">
        <v>52</v>
      </c>
      <c r="O185">
        <v>5</v>
      </c>
      <c r="P185" t="s">
        <v>44</v>
      </c>
      <c r="Q185">
        <v>21</v>
      </c>
      <c r="R185">
        <v>215247</v>
      </c>
      <c r="S185">
        <v>702000</v>
      </c>
      <c r="T185" s="3">
        <v>4386753</v>
      </c>
    </row>
    <row r="186" spans="1:20" x14ac:dyDescent="0.3">
      <c r="A186">
        <v>1185</v>
      </c>
      <c r="B186" t="s">
        <v>99</v>
      </c>
      <c r="C186" t="s">
        <v>21</v>
      </c>
      <c r="D186">
        <v>44</v>
      </c>
      <c r="E186" t="s">
        <v>112</v>
      </c>
      <c r="F186" t="s">
        <v>55</v>
      </c>
      <c r="G186" t="s">
        <v>37</v>
      </c>
      <c r="H186" t="s">
        <v>38</v>
      </c>
      <c r="I186" t="s">
        <v>48</v>
      </c>
      <c r="J186" t="s">
        <v>40</v>
      </c>
      <c r="K186" t="s">
        <v>253</v>
      </c>
      <c r="L186" t="s">
        <v>71</v>
      </c>
      <c r="M186" t="s">
        <v>51</v>
      </c>
      <c r="N186" t="s">
        <v>31</v>
      </c>
      <c r="O186">
        <v>3</v>
      </c>
      <c r="P186" t="s">
        <v>86</v>
      </c>
      <c r="Q186">
        <v>19</v>
      </c>
      <c r="R186">
        <v>80094</v>
      </c>
      <c r="S186">
        <v>936000</v>
      </c>
      <c r="T186" s="3">
        <v>6055906</v>
      </c>
    </row>
    <row r="187" spans="1:20" x14ac:dyDescent="0.3">
      <c r="A187">
        <v>1186</v>
      </c>
      <c r="B187" t="s">
        <v>33</v>
      </c>
      <c r="C187" t="s">
        <v>34</v>
      </c>
      <c r="D187">
        <v>41</v>
      </c>
      <c r="E187" t="s">
        <v>68</v>
      </c>
      <c r="F187" t="s">
        <v>23</v>
      </c>
      <c r="G187" t="s">
        <v>115</v>
      </c>
      <c r="H187" t="s">
        <v>106</v>
      </c>
      <c r="I187" t="s">
        <v>39</v>
      </c>
      <c r="J187" t="s">
        <v>27</v>
      </c>
      <c r="K187" t="s">
        <v>254</v>
      </c>
      <c r="L187" t="s">
        <v>66</v>
      </c>
      <c r="M187" t="s">
        <v>30</v>
      </c>
      <c r="N187" t="s">
        <v>31</v>
      </c>
      <c r="O187">
        <v>5</v>
      </c>
      <c r="P187" t="s">
        <v>53</v>
      </c>
      <c r="Q187">
        <v>15</v>
      </c>
      <c r="R187">
        <v>160120</v>
      </c>
      <c r="S187">
        <v>846000</v>
      </c>
      <c r="T187" s="3">
        <v>5385880</v>
      </c>
    </row>
    <row r="188" spans="1:20" x14ac:dyDescent="0.3">
      <c r="A188">
        <v>1187</v>
      </c>
      <c r="B188" t="s">
        <v>99</v>
      </c>
      <c r="C188" t="s">
        <v>21</v>
      </c>
      <c r="D188">
        <v>52</v>
      </c>
      <c r="E188" t="s">
        <v>118</v>
      </c>
      <c r="F188" t="s">
        <v>36</v>
      </c>
      <c r="G188" t="s">
        <v>105</v>
      </c>
      <c r="H188" t="s">
        <v>106</v>
      </c>
      <c r="I188" t="s">
        <v>97</v>
      </c>
      <c r="J188" t="s">
        <v>87</v>
      </c>
      <c r="K188" t="s">
        <v>255</v>
      </c>
      <c r="L188" t="s">
        <v>59</v>
      </c>
      <c r="M188" t="s">
        <v>78</v>
      </c>
      <c r="N188" t="s">
        <v>52</v>
      </c>
      <c r="O188">
        <v>4</v>
      </c>
      <c r="P188" t="s">
        <v>32</v>
      </c>
      <c r="Q188">
        <v>9</v>
      </c>
      <c r="R188">
        <v>50999</v>
      </c>
      <c r="S188">
        <v>1350000</v>
      </c>
      <c r="T188" s="3">
        <v>8799001</v>
      </c>
    </row>
    <row r="189" spans="1:20" x14ac:dyDescent="0.3">
      <c r="A189">
        <v>1188</v>
      </c>
      <c r="B189" t="s">
        <v>81</v>
      </c>
      <c r="C189" t="s">
        <v>34</v>
      </c>
      <c r="D189">
        <v>46</v>
      </c>
      <c r="E189" t="s">
        <v>22</v>
      </c>
      <c r="F189" t="s">
        <v>23</v>
      </c>
      <c r="G189" t="s">
        <v>56</v>
      </c>
      <c r="H189" t="s">
        <v>57</v>
      </c>
      <c r="I189" t="s">
        <v>39</v>
      </c>
      <c r="J189" t="s">
        <v>49</v>
      </c>
      <c r="K189" t="s">
        <v>256</v>
      </c>
      <c r="L189" t="s">
        <v>29</v>
      </c>
      <c r="M189" t="s">
        <v>43</v>
      </c>
      <c r="N189" t="s">
        <v>52</v>
      </c>
      <c r="O189">
        <v>4</v>
      </c>
      <c r="P189" t="s">
        <v>86</v>
      </c>
      <c r="Q189">
        <v>21</v>
      </c>
      <c r="R189">
        <v>200978</v>
      </c>
      <c r="S189">
        <v>756000</v>
      </c>
      <c r="T189" s="3">
        <v>4755022</v>
      </c>
    </row>
    <row r="190" spans="1:20" x14ac:dyDescent="0.3">
      <c r="A190">
        <v>1189</v>
      </c>
      <c r="B190" t="s">
        <v>95</v>
      </c>
      <c r="C190" t="s">
        <v>34</v>
      </c>
      <c r="D190">
        <v>40</v>
      </c>
      <c r="E190" t="s">
        <v>22</v>
      </c>
      <c r="F190" t="s">
        <v>55</v>
      </c>
      <c r="G190" t="s">
        <v>74</v>
      </c>
      <c r="H190" t="s">
        <v>75</v>
      </c>
      <c r="I190" t="s">
        <v>76</v>
      </c>
      <c r="J190" t="s">
        <v>87</v>
      </c>
      <c r="K190" t="s">
        <v>257</v>
      </c>
      <c r="L190" t="s">
        <v>71</v>
      </c>
      <c r="M190" t="s">
        <v>43</v>
      </c>
      <c r="N190" t="s">
        <v>31</v>
      </c>
      <c r="O190">
        <v>2</v>
      </c>
      <c r="P190" t="s">
        <v>53</v>
      </c>
      <c r="Q190">
        <v>10</v>
      </c>
      <c r="R190">
        <v>122384</v>
      </c>
      <c r="S190">
        <v>756000</v>
      </c>
      <c r="T190" s="3">
        <v>4833616</v>
      </c>
    </row>
    <row r="191" spans="1:20" x14ac:dyDescent="0.3">
      <c r="A191">
        <v>1190</v>
      </c>
      <c r="B191" t="s">
        <v>99</v>
      </c>
      <c r="C191" t="s">
        <v>21</v>
      </c>
      <c r="D191">
        <v>36</v>
      </c>
      <c r="E191" t="s">
        <v>118</v>
      </c>
      <c r="F191" t="s">
        <v>23</v>
      </c>
      <c r="G191" t="s">
        <v>37</v>
      </c>
      <c r="H191" t="s">
        <v>38</v>
      </c>
      <c r="I191" t="s">
        <v>48</v>
      </c>
      <c r="J191" t="s">
        <v>27</v>
      </c>
      <c r="K191" t="s">
        <v>258</v>
      </c>
      <c r="L191" t="s">
        <v>42</v>
      </c>
      <c r="M191" t="s">
        <v>51</v>
      </c>
      <c r="N191" t="s">
        <v>31</v>
      </c>
      <c r="O191">
        <v>2</v>
      </c>
      <c r="P191" t="s">
        <v>44</v>
      </c>
      <c r="Q191">
        <v>8</v>
      </c>
      <c r="R191">
        <v>138803</v>
      </c>
      <c r="S191">
        <v>1350000</v>
      </c>
      <c r="T191" s="3">
        <v>8711197</v>
      </c>
    </row>
    <row r="192" spans="1:20" x14ac:dyDescent="0.3">
      <c r="A192">
        <v>1191</v>
      </c>
      <c r="B192" t="s">
        <v>104</v>
      </c>
      <c r="C192" t="s">
        <v>21</v>
      </c>
      <c r="D192">
        <v>48</v>
      </c>
      <c r="E192" t="s">
        <v>90</v>
      </c>
      <c r="F192" t="s">
        <v>23</v>
      </c>
      <c r="G192" t="s">
        <v>24</v>
      </c>
      <c r="H192" t="s">
        <v>25</v>
      </c>
      <c r="I192" t="s">
        <v>97</v>
      </c>
      <c r="J192" t="s">
        <v>40</v>
      </c>
      <c r="K192" t="s">
        <v>259</v>
      </c>
      <c r="L192" t="s">
        <v>59</v>
      </c>
      <c r="M192" t="s">
        <v>94</v>
      </c>
      <c r="N192" t="s">
        <v>31</v>
      </c>
      <c r="O192">
        <v>2</v>
      </c>
      <c r="P192" t="s">
        <v>86</v>
      </c>
      <c r="Q192">
        <v>18</v>
      </c>
      <c r="R192">
        <v>203240</v>
      </c>
      <c r="S192">
        <v>702000</v>
      </c>
      <c r="T192" s="3">
        <v>4398760</v>
      </c>
    </row>
    <row r="193" spans="1:20" x14ac:dyDescent="0.3">
      <c r="A193">
        <v>1192</v>
      </c>
      <c r="B193" t="s">
        <v>81</v>
      </c>
      <c r="C193" t="s">
        <v>34</v>
      </c>
      <c r="D193">
        <v>52</v>
      </c>
      <c r="E193" t="s">
        <v>35</v>
      </c>
      <c r="F193" t="s">
        <v>62</v>
      </c>
      <c r="G193" t="s">
        <v>69</v>
      </c>
      <c r="H193" t="s">
        <v>69</v>
      </c>
      <c r="I193" t="s">
        <v>26</v>
      </c>
      <c r="J193" t="s">
        <v>40</v>
      </c>
      <c r="K193" t="s">
        <v>260</v>
      </c>
      <c r="L193" t="s">
        <v>71</v>
      </c>
      <c r="M193" t="s">
        <v>30</v>
      </c>
      <c r="N193" t="s">
        <v>31</v>
      </c>
      <c r="O193">
        <v>4</v>
      </c>
      <c r="P193" t="s">
        <v>32</v>
      </c>
      <c r="Q193">
        <v>10</v>
      </c>
      <c r="R193">
        <v>104452</v>
      </c>
      <c r="S193">
        <v>1764000</v>
      </c>
      <c r="T193" s="3">
        <v>11459548</v>
      </c>
    </row>
    <row r="194" spans="1:20" x14ac:dyDescent="0.3">
      <c r="A194">
        <v>1193</v>
      </c>
      <c r="B194" t="s">
        <v>114</v>
      </c>
      <c r="C194" t="s">
        <v>21</v>
      </c>
      <c r="D194">
        <v>40</v>
      </c>
      <c r="E194" t="s">
        <v>112</v>
      </c>
      <c r="F194" t="s">
        <v>36</v>
      </c>
      <c r="G194" t="s">
        <v>56</v>
      </c>
      <c r="H194" t="s">
        <v>57</v>
      </c>
      <c r="I194" t="s">
        <v>26</v>
      </c>
      <c r="J194" t="s">
        <v>27</v>
      </c>
      <c r="K194" t="s">
        <v>261</v>
      </c>
      <c r="L194" t="s">
        <v>29</v>
      </c>
      <c r="M194" t="s">
        <v>43</v>
      </c>
      <c r="N194" t="s">
        <v>31</v>
      </c>
      <c r="O194">
        <v>4</v>
      </c>
      <c r="P194" t="s">
        <v>53</v>
      </c>
      <c r="Q194">
        <v>18</v>
      </c>
      <c r="R194">
        <v>121601</v>
      </c>
      <c r="S194">
        <v>936000</v>
      </c>
      <c r="T194" s="3">
        <v>6014399</v>
      </c>
    </row>
    <row r="195" spans="1:20" x14ac:dyDescent="0.3">
      <c r="A195">
        <v>1194</v>
      </c>
      <c r="B195" t="s">
        <v>99</v>
      </c>
      <c r="C195" t="s">
        <v>21</v>
      </c>
      <c r="D195">
        <v>45</v>
      </c>
      <c r="E195" t="s">
        <v>68</v>
      </c>
      <c r="F195" t="s">
        <v>36</v>
      </c>
      <c r="G195" t="s">
        <v>115</v>
      </c>
      <c r="H195" t="s">
        <v>106</v>
      </c>
      <c r="I195" t="s">
        <v>48</v>
      </c>
      <c r="J195" t="s">
        <v>40</v>
      </c>
      <c r="K195" t="s">
        <v>262</v>
      </c>
      <c r="L195" t="s">
        <v>71</v>
      </c>
      <c r="M195" t="s">
        <v>51</v>
      </c>
      <c r="N195" t="s">
        <v>52</v>
      </c>
      <c r="O195">
        <v>4</v>
      </c>
      <c r="P195" t="s">
        <v>53</v>
      </c>
      <c r="Q195">
        <v>12</v>
      </c>
      <c r="R195">
        <v>128724</v>
      </c>
      <c r="S195">
        <v>846000</v>
      </c>
      <c r="T195" s="3">
        <v>5417276</v>
      </c>
    </row>
    <row r="196" spans="1:20" x14ac:dyDescent="0.3">
      <c r="A196">
        <v>1195</v>
      </c>
      <c r="B196" t="s">
        <v>79</v>
      </c>
      <c r="C196" t="s">
        <v>21</v>
      </c>
      <c r="D196">
        <v>38</v>
      </c>
      <c r="E196" t="s">
        <v>46</v>
      </c>
      <c r="F196" t="s">
        <v>55</v>
      </c>
      <c r="G196" t="s">
        <v>47</v>
      </c>
      <c r="H196" t="s">
        <v>25</v>
      </c>
      <c r="I196" t="s">
        <v>76</v>
      </c>
      <c r="J196" t="s">
        <v>49</v>
      </c>
      <c r="K196" t="s">
        <v>263</v>
      </c>
      <c r="L196" t="s">
        <v>59</v>
      </c>
      <c r="M196" t="s">
        <v>78</v>
      </c>
      <c r="N196" t="s">
        <v>31</v>
      </c>
      <c r="O196">
        <v>4</v>
      </c>
      <c r="P196" t="s">
        <v>86</v>
      </c>
      <c r="Q196">
        <v>8</v>
      </c>
      <c r="R196">
        <v>192645</v>
      </c>
      <c r="S196">
        <v>5760000</v>
      </c>
      <c r="T196" s="3">
        <v>37567355</v>
      </c>
    </row>
    <row r="197" spans="1:20" x14ac:dyDescent="0.3">
      <c r="A197">
        <v>1196</v>
      </c>
      <c r="B197" t="s">
        <v>104</v>
      </c>
      <c r="C197" t="s">
        <v>21</v>
      </c>
      <c r="D197">
        <v>49</v>
      </c>
      <c r="E197" t="s">
        <v>82</v>
      </c>
      <c r="F197" t="s">
        <v>36</v>
      </c>
      <c r="G197" t="s">
        <v>24</v>
      </c>
      <c r="H197" t="s">
        <v>25</v>
      </c>
      <c r="I197" t="s">
        <v>97</v>
      </c>
      <c r="J197" t="s">
        <v>87</v>
      </c>
      <c r="K197" t="s">
        <v>264</v>
      </c>
      <c r="L197" t="s">
        <v>71</v>
      </c>
      <c r="M197" t="s">
        <v>30</v>
      </c>
      <c r="N197" t="s">
        <v>52</v>
      </c>
      <c r="O197">
        <v>3</v>
      </c>
      <c r="P197" t="s">
        <v>32</v>
      </c>
      <c r="Q197">
        <v>5</v>
      </c>
      <c r="R197">
        <v>213986</v>
      </c>
      <c r="S197">
        <v>1098000</v>
      </c>
      <c r="T197" s="3">
        <v>6984014</v>
      </c>
    </row>
    <row r="198" spans="1:20" x14ac:dyDescent="0.3">
      <c r="A198">
        <v>1197</v>
      </c>
      <c r="B198" t="s">
        <v>20</v>
      </c>
      <c r="C198" t="s">
        <v>34</v>
      </c>
      <c r="D198">
        <v>39</v>
      </c>
      <c r="E198" t="s">
        <v>35</v>
      </c>
      <c r="F198" t="s">
        <v>62</v>
      </c>
      <c r="G198" t="s">
        <v>115</v>
      </c>
      <c r="H198" t="s">
        <v>106</v>
      </c>
      <c r="I198" t="s">
        <v>48</v>
      </c>
      <c r="J198" t="s">
        <v>27</v>
      </c>
      <c r="K198" t="s">
        <v>265</v>
      </c>
      <c r="L198" t="s">
        <v>59</v>
      </c>
      <c r="M198" t="s">
        <v>43</v>
      </c>
      <c r="N198" t="s">
        <v>52</v>
      </c>
      <c r="O198">
        <v>5</v>
      </c>
      <c r="P198" t="s">
        <v>53</v>
      </c>
      <c r="Q198">
        <v>14</v>
      </c>
      <c r="R198">
        <v>82212</v>
      </c>
      <c r="S198">
        <v>1764000</v>
      </c>
      <c r="T198" s="3">
        <v>11481788</v>
      </c>
    </row>
    <row r="199" spans="1:20" x14ac:dyDescent="0.3">
      <c r="A199">
        <v>1198</v>
      </c>
      <c r="B199" t="s">
        <v>95</v>
      </c>
      <c r="C199" t="s">
        <v>34</v>
      </c>
      <c r="D199">
        <v>25</v>
      </c>
      <c r="E199" t="s">
        <v>90</v>
      </c>
      <c r="F199" t="s">
        <v>62</v>
      </c>
      <c r="G199" t="s">
        <v>63</v>
      </c>
      <c r="H199" t="s">
        <v>64</v>
      </c>
      <c r="I199" t="s">
        <v>26</v>
      </c>
      <c r="J199" t="s">
        <v>87</v>
      </c>
      <c r="K199" t="s">
        <v>266</v>
      </c>
      <c r="L199" t="s">
        <v>66</v>
      </c>
      <c r="M199" t="s">
        <v>43</v>
      </c>
      <c r="N199" t="s">
        <v>52</v>
      </c>
      <c r="O199">
        <v>5</v>
      </c>
      <c r="P199" t="s">
        <v>44</v>
      </c>
      <c r="Q199">
        <v>20</v>
      </c>
      <c r="R199">
        <v>232860</v>
      </c>
      <c r="S199">
        <v>702000</v>
      </c>
      <c r="T199" s="3">
        <v>4369140</v>
      </c>
    </row>
    <row r="200" spans="1:20" x14ac:dyDescent="0.3">
      <c r="A200">
        <v>1199</v>
      </c>
      <c r="B200" t="s">
        <v>33</v>
      </c>
      <c r="C200" t="s">
        <v>34</v>
      </c>
      <c r="D200">
        <v>35</v>
      </c>
      <c r="E200" t="s">
        <v>35</v>
      </c>
      <c r="F200" t="s">
        <v>36</v>
      </c>
      <c r="G200" t="s">
        <v>63</v>
      </c>
      <c r="H200" t="s">
        <v>64</v>
      </c>
      <c r="I200" t="s">
        <v>48</v>
      </c>
      <c r="J200" t="s">
        <v>87</v>
      </c>
      <c r="K200" t="s">
        <v>267</v>
      </c>
      <c r="L200" t="s">
        <v>71</v>
      </c>
      <c r="M200" t="s">
        <v>94</v>
      </c>
      <c r="N200" t="s">
        <v>31</v>
      </c>
      <c r="O200">
        <v>2</v>
      </c>
      <c r="P200" t="s">
        <v>53</v>
      </c>
      <c r="Q200">
        <v>13</v>
      </c>
      <c r="R200">
        <v>100620</v>
      </c>
      <c r="S200">
        <v>1764000</v>
      </c>
      <c r="T200" s="3">
        <v>11463380</v>
      </c>
    </row>
    <row r="201" spans="1:20" x14ac:dyDescent="0.3">
      <c r="A201">
        <v>1200</v>
      </c>
      <c r="B201" t="s">
        <v>95</v>
      </c>
      <c r="C201" t="s">
        <v>21</v>
      </c>
      <c r="D201">
        <v>41</v>
      </c>
      <c r="E201" t="s">
        <v>68</v>
      </c>
      <c r="F201" t="s">
        <v>23</v>
      </c>
      <c r="G201" t="s">
        <v>74</v>
      </c>
      <c r="H201" t="s">
        <v>75</v>
      </c>
      <c r="I201" t="s">
        <v>48</v>
      </c>
      <c r="J201" t="s">
        <v>49</v>
      </c>
      <c r="K201" t="s">
        <v>268</v>
      </c>
      <c r="L201" t="s">
        <v>42</v>
      </c>
      <c r="M201" t="s">
        <v>43</v>
      </c>
      <c r="N201" t="s">
        <v>52</v>
      </c>
      <c r="O201">
        <v>4</v>
      </c>
      <c r="P201" t="s">
        <v>86</v>
      </c>
      <c r="Q201">
        <v>25</v>
      </c>
      <c r="R201">
        <v>205515</v>
      </c>
      <c r="S201">
        <v>846000</v>
      </c>
      <c r="T201" s="3">
        <v>5340485</v>
      </c>
    </row>
    <row r="202" spans="1:20" x14ac:dyDescent="0.3">
      <c r="A202">
        <v>1201</v>
      </c>
      <c r="B202" t="s">
        <v>45</v>
      </c>
      <c r="C202" t="s">
        <v>21</v>
      </c>
      <c r="D202">
        <v>43</v>
      </c>
      <c r="E202" t="s">
        <v>112</v>
      </c>
      <c r="F202" t="s">
        <v>36</v>
      </c>
      <c r="G202" t="s">
        <v>69</v>
      </c>
      <c r="H202" t="s">
        <v>69</v>
      </c>
      <c r="I202" t="s">
        <v>48</v>
      </c>
      <c r="J202" t="s">
        <v>27</v>
      </c>
      <c r="K202" t="s">
        <v>269</v>
      </c>
      <c r="L202" t="s">
        <v>66</v>
      </c>
      <c r="M202" t="s">
        <v>94</v>
      </c>
      <c r="N202" t="s">
        <v>52</v>
      </c>
      <c r="O202">
        <v>2</v>
      </c>
      <c r="P202" t="s">
        <v>32</v>
      </c>
      <c r="Q202">
        <v>5</v>
      </c>
      <c r="R202">
        <v>88037</v>
      </c>
      <c r="S202">
        <v>936000</v>
      </c>
      <c r="T202" s="3">
        <v>6047963</v>
      </c>
    </row>
    <row r="203" spans="1:20" x14ac:dyDescent="0.3">
      <c r="A203">
        <v>1202</v>
      </c>
      <c r="B203" t="s">
        <v>108</v>
      </c>
      <c r="C203" t="s">
        <v>21</v>
      </c>
      <c r="D203">
        <v>46</v>
      </c>
      <c r="E203" t="s">
        <v>61</v>
      </c>
      <c r="F203" t="s">
        <v>23</v>
      </c>
      <c r="G203" t="s">
        <v>37</v>
      </c>
      <c r="H203" t="s">
        <v>38</v>
      </c>
      <c r="I203" t="s">
        <v>97</v>
      </c>
      <c r="J203" t="s">
        <v>27</v>
      </c>
      <c r="K203" t="s">
        <v>270</v>
      </c>
      <c r="L203" t="s">
        <v>42</v>
      </c>
      <c r="M203" t="s">
        <v>94</v>
      </c>
      <c r="N203" t="s">
        <v>52</v>
      </c>
      <c r="O203">
        <v>4</v>
      </c>
      <c r="P203" t="s">
        <v>44</v>
      </c>
      <c r="Q203">
        <v>23</v>
      </c>
      <c r="R203">
        <v>214754</v>
      </c>
      <c r="S203">
        <v>2250000</v>
      </c>
      <c r="T203" s="3">
        <v>14535246</v>
      </c>
    </row>
    <row r="204" spans="1:20" x14ac:dyDescent="0.3">
      <c r="A204">
        <v>1203</v>
      </c>
      <c r="B204" t="s">
        <v>72</v>
      </c>
      <c r="C204" t="s">
        <v>21</v>
      </c>
      <c r="D204">
        <v>46</v>
      </c>
      <c r="E204" t="s">
        <v>61</v>
      </c>
      <c r="F204" t="s">
        <v>62</v>
      </c>
      <c r="G204" t="s">
        <v>105</v>
      </c>
      <c r="H204" t="s">
        <v>106</v>
      </c>
      <c r="I204" t="s">
        <v>97</v>
      </c>
      <c r="J204" t="s">
        <v>27</v>
      </c>
      <c r="K204" t="s">
        <v>271</v>
      </c>
      <c r="L204" t="s">
        <v>71</v>
      </c>
      <c r="M204" t="s">
        <v>43</v>
      </c>
      <c r="N204" t="s">
        <v>31</v>
      </c>
      <c r="O204">
        <v>5</v>
      </c>
      <c r="P204" t="s">
        <v>32</v>
      </c>
      <c r="Q204">
        <v>7</v>
      </c>
      <c r="R204">
        <v>298686</v>
      </c>
      <c r="S204">
        <v>2250000</v>
      </c>
      <c r="T204" s="3">
        <v>14451314</v>
      </c>
    </row>
    <row r="205" spans="1:20" x14ac:dyDescent="0.3">
      <c r="A205">
        <v>1204</v>
      </c>
      <c r="B205" t="s">
        <v>79</v>
      </c>
      <c r="C205" t="s">
        <v>21</v>
      </c>
      <c r="D205">
        <v>49</v>
      </c>
      <c r="E205" t="s">
        <v>82</v>
      </c>
      <c r="F205" t="s">
        <v>23</v>
      </c>
      <c r="G205" t="s">
        <v>74</v>
      </c>
      <c r="H205" t="s">
        <v>75</v>
      </c>
      <c r="I205" t="s">
        <v>48</v>
      </c>
      <c r="J205" t="s">
        <v>87</v>
      </c>
      <c r="K205" t="s">
        <v>272</v>
      </c>
      <c r="L205" t="s">
        <v>42</v>
      </c>
      <c r="M205" t="s">
        <v>30</v>
      </c>
      <c r="N205" t="s">
        <v>31</v>
      </c>
      <c r="O205">
        <v>4</v>
      </c>
      <c r="P205" t="s">
        <v>44</v>
      </c>
      <c r="Q205">
        <v>7</v>
      </c>
      <c r="R205">
        <v>197086</v>
      </c>
      <c r="S205">
        <v>1098000</v>
      </c>
      <c r="T205" s="3">
        <v>7000914</v>
      </c>
    </row>
    <row r="206" spans="1:20" x14ac:dyDescent="0.3">
      <c r="A206">
        <v>1205</v>
      </c>
      <c r="B206" t="s">
        <v>104</v>
      </c>
      <c r="C206" t="s">
        <v>34</v>
      </c>
      <c r="D206">
        <v>45</v>
      </c>
      <c r="E206" t="s">
        <v>22</v>
      </c>
      <c r="F206" t="s">
        <v>62</v>
      </c>
      <c r="G206" t="s">
        <v>115</v>
      </c>
      <c r="H206" t="s">
        <v>106</v>
      </c>
      <c r="I206" t="s">
        <v>97</v>
      </c>
      <c r="J206" t="s">
        <v>49</v>
      </c>
      <c r="K206" t="s">
        <v>273</v>
      </c>
      <c r="L206" t="s">
        <v>71</v>
      </c>
      <c r="M206" t="s">
        <v>30</v>
      </c>
      <c r="N206" t="s">
        <v>31</v>
      </c>
      <c r="O206">
        <v>5</v>
      </c>
      <c r="P206" t="s">
        <v>53</v>
      </c>
      <c r="Q206">
        <v>8</v>
      </c>
      <c r="R206">
        <v>194041</v>
      </c>
      <c r="S206">
        <v>756000</v>
      </c>
      <c r="T206" s="3">
        <v>4761959</v>
      </c>
    </row>
    <row r="207" spans="1:20" x14ac:dyDescent="0.3">
      <c r="A207">
        <v>1206</v>
      </c>
      <c r="B207" t="s">
        <v>108</v>
      </c>
      <c r="C207" t="s">
        <v>34</v>
      </c>
      <c r="D207">
        <v>37</v>
      </c>
      <c r="E207" t="s">
        <v>73</v>
      </c>
      <c r="F207" t="s">
        <v>23</v>
      </c>
      <c r="G207" t="s">
        <v>115</v>
      </c>
      <c r="H207" t="s">
        <v>106</v>
      </c>
      <c r="I207" t="s">
        <v>48</v>
      </c>
      <c r="J207" t="s">
        <v>49</v>
      </c>
      <c r="K207" t="s">
        <v>274</v>
      </c>
      <c r="L207" t="s">
        <v>59</v>
      </c>
      <c r="M207" t="s">
        <v>30</v>
      </c>
      <c r="N207" t="s">
        <v>52</v>
      </c>
      <c r="O207">
        <v>3</v>
      </c>
      <c r="P207" t="s">
        <v>86</v>
      </c>
      <c r="Q207">
        <v>22</v>
      </c>
      <c r="R207">
        <v>131019</v>
      </c>
      <c r="S207">
        <v>1224000</v>
      </c>
      <c r="T207" s="3">
        <v>7892981</v>
      </c>
    </row>
    <row r="208" spans="1:20" x14ac:dyDescent="0.3">
      <c r="A208">
        <v>1207</v>
      </c>
      <c r="B208" t="s">
        <v>79</v>
      </c>
      <c r="C208" t="s">
        <v>34</v>
      </c>
      <c r="D208">
        <v>31</v>
      </c>
      <c r="E208" t="s">
        <v>82</v>
      </c>
      <c r="F208" t="s">
        <v>36</v>
      </c>
      <c r="G208" t="s">
        <v>69</v>
      </c>
      <c r="H208" t="s">
        <v>69</v>
      </c>
      <c r="I208" t="s">
        <v>26</v>
      </c>
      <c r="J208" t="s">
        <v>87</v>
      </c>
      <c r="K208" t="s">
        <v>275</v>
      </c>
      <c r="L208" t="s">
        <v>71</v>
      </c>
      <c r="M208" t="s">
        <v>51</v>
      </c>
      <c r="N208" t="s">
        <v>52</v>
      </c>
      <c r="O208">
        <v>2</v>
      </c>
      <c r="P208" t="s">
        <v>53</v>
      </c>
      <c r="Q208">
        <v>22</v>
      </c>
      <c r="R208">
        <v>147549</v>
      </c>
      <c r="S208">
        <v>1098000</v>
      </c>
      <c r="T208" s="3">
        <v>7050451</v>
      </c>
    </row>
    <row r="209" spans="1:20" x14ac:dyDescent="0.3">
      <c r="A209">
        <v>1208</v>
      </c>
      <c r="B209" t="s">
        <v>95</v>
      </c>
      <c r="C209" t="s">
        <v>34</v>
      </c>
      <c r="D209">
        <v>27</v>
      </c>
      <c r="E209" t="s">
        <v>82</v>
      </c>
      <c r="F209" t="s">
        <v>23</v>
      </c>
      <c r="G209" t="s">
        <v>69</v>
      </c>
      <c r="H209" t="s">
        <v>69</v>
      </c>
      <c r="I209" t="s">
        <v>26</v>
      </c>
      <c r="J209" t="s">
        <v>49</v>
      </c>
      <c r="K209" t="s">
        <v>276</v>
      </c>
      <c r="L209" t="s">
        <v>42</v>
      </c>
      <c r="M209" t="s">
        <v>94</v>
      </c>
      <c r="N209" t="s">
        <v>31</v>
      </c>
      <c r="O209">
        <v>3</v>
      </c>
      <c r="P209" t="s">
        <v>32</v>
      </c>
      <c r="Q209">
        <v>10</v>
      </c>
      <c r="R209">
        <v>192862</v>
      </c>
      <c r="S209">
        <v>1098000</v>
      </c>
      <c r="T209" s="3">
        <v>7005138</v>
      </c>
    </row>
    <row r="210" spans="1:20" x14ac:dyDescent="0.3">
      <c r="A210">
        <v>1209</v>
      </c>
      <c r="B210" t="s">
        <v>33</v>
      </c>
      <c r="C210" t="s">
        <v>34</v>
      </c>
      <c r="D210">
        <v>37</v>
      </c>
      <c r="E210" t="s">
        <v>112</v>
      </c>
      <c r="F210" t="s">
        <v>62</v>
      </c>
      <c r="G210" t="s">
        <v>56</v>
      </c>
      <c r="H210" t="s">
        <v>57</v>
      </c>
      <c r="I210" t="s">
        <v>76</v>
      </c>
      <c r="J210" t="s">
        <v>40</v>
      </c>
      <c r="K210" t="s">
        <v>277</v>
      </c>
      <c r="L210" t="s">
        <v>42</v>
      </c>
      <c r="M210" t="s">
        <v>30</v>
      </c>
      <c r="N210" t="s">
        <v>52</v>
      </c>
      <c r="O210">
        <v>4</v>
      </c>
      <c r="P210" t="s">
        <v>32</v>
      </c>
      <c r="Q210">
        <v>12</v>
      </c>
      <c r="R210">
        <v>129691</v>
      </c>
      <c r="S210">
        <v>936000</v>
      </c>
      <c r="T210" s="3">
        <v>6006309</v>
      </c>
    </row>
    <row r="211" spans="1:20" x14ac:dyDescent="0.3">
      <c r="A211">
        <v>1210</v>
      </c>
      <c r="B211" t="s">
        <v>81</v>
      </c>
      <c r="C211" t="s">
        <v>21</v>
      </c>
      <c r="D211">
        <v>43</v>
      </c>
      <c r="E211" t="s">
        <v>46</v>
      </c>
      <c r="F211" t="s">
        <v>36</v>
      </c>
      <c r="G211" t="s">
        <v>91</v>
      </c>
      <c r="H211" t="s">
        <v>25</v>
      </c>
      <c r="I211" t="s">
        <v>76</v>
      </c>
      <c r="J211" t="s">
        <v>27</v>
      </c>
      <c r="K211" t="s">
        <v>278</v>
      </c>
      <c r="L211" t="s">
        <v>29</v>
      </c>
      <c r="M211" t="s">
        <v>43</v>
      </c>
      <c r="N211" t="s">
        <v>52</v>
      </c>
      <c r="O211">
        <v>5</v>
      </c>
      <c r="P211" t="s">
        <v>53</v>
      </c>
      <c r="Q211">
        <v>15</v>
      </c>
      <c r="R211">
        <v>99585</v>
      </c>
      <c r="S211">
        <v>5760000</v>
      </c>
      <c r="T211" s="3">
        <v>37660415</v>
      </c>
    </row>
    <row r="212" spans="1:20" x14ac:dyDescent="0.3">
      <c r="A212">
        <v>1211</v>
      </c>
      <c r="B212" t="s">
        <v>114</v>
      </c>
      <c r="C212" t="s">
        <v>21</v>
      </c>
      <c r="D212">
        <v>28</v>
      </c>
      <c r="E212" t="s">
        <v>35</v>
      </c>
      <c r="F212" t="s">
        <v>55</v>
      </c>
      <c r="G212" t="s">
        <v>91</v>
      </c>
      <c r="H212" t="s">
        <v>25</v>
      </c>
      <c r="I212" t="s">
        <v>76</v>
      </c>
      <c r="J212" t="s">
        <v>49</v>
      </c>
      <c r="K212" t="s">
        <v>220</v>
      </c>
      <c r="L212" t="s">
        <v>42</v>
      </c>
      <c r="M212" t="s">
        <v>78</v>
      </c>
      <c r="N212" t="s">
        <v>31</v>
      </c>
      <c r="O212">
        <v>5</v>
      </c>
      <c r="P212" t="s">
        <v>44</v>
      </c>
      <c r="Q212">
        <v>18</v>
      </c>
      <c r="R212">
        <v>135963</v>
      </c>
      <c r="S212">
        <v>1764000</v>
      </c>
      <c r="T212" s="3">
        <v>11428037</v>
      </c>
    </row>
    <row r="213" spans="1:20" x14ac:dyDescent="0.3">
      <c r="A213">
        <v>1212</v>
      </c>
      <c r="B213" t="s">
        <v>95</v>
      </c>
      <c r="C213" t="s">
        <v>34</v>
      </c>
      <c r="D213">
        <v>51</v>
      </c>
      <c r="E213" t="s">
        <v>46</v>
      </c>
      <c r="F213" t="s">
        <v>36</v>
      </c>
      <c r="G213" t="s">
        <v>24</v>
      </c>
      <c r="H213" t="s">
        <v>25</v>
      </c>
      <c r="I213" t="s">
        <v>97</v>
      </c>
      <c r="J213" t="s">
        <v>49</v>
      </c>
      <c r="K213" t="s">
        <v>173</v>
      </c>
      <c r="L213" t="s">
        <v>66</v>
      </c>
      <c r="M213" t="s">
        <v>30</v>
      </c>
      <c r="N213" t="s">
        <v>52</v>
      </c>
      <c r="O213">
        <v>3</v>
      </c>
      <c r="P213" t="s">
        <v>53</v>
      </c>
      <c r="Q213">
        <v>8</v>
      </c>
      <c r="R213">
        <v>281999</v>
      </c>
      <c r="S213">
        <v>5760000</v>
      </c>
      <c r="T213" s="3">
        <v>37478001</v>
      </c>
    </row>
    <row r="214" spans="1:20" x14ac:dyDescent="0.3">
      <c r="A214">
        <v>1213</v>
      </c>
      <c r="B214" t="s">
        <v>104</v>
      </c>
      <c r="C214" t="s">
        <v>21</v>
      </c>
      <c r="D214">
        <v>54</v>
      </c>
      <c r="E214" t="s">
        <v>112</v>
      </c>
      <c r="F214" t="s">
        <v>23</v>
      </c>
      <c r="G214" t="s">
        <v>69</v>
      </c>
      <c r="H214" t="s">
        <v>69</v>
      </c>
      <c r="I214" t="s">
        <v>26</v>
      </c>
      <c r="J214" t="s">
        <v>27</v>
      </c>
      <c r="K214" t="s">
        <v>279</v>
      </c>
      <c r="L214" t="s">
        <v>42</v>
      </c>
      <c r="M214" t="s">
        <v>51</v>
      </c>
      <c r="N214" t="s">
        <v>52</v>
      </c>
      <c r="O214">
        <v>4</v>
      </c>
      <c r="P214" t="s">
        <v>44</v>
      </c>
      <c r="Q214">
        <v>12</v>
      </c>
      <c r="R214">
        <v>164858</v>
      </c>
      <c r="S214">
        <v>936000</v>
      </c>
      <c r="T214" s="3">
        <v>5971142</v>
      </c>
    </row>
    <row r="215" spans="1:20" x14ac:dyDescent="0.3">
      <c r="A215">
        <v>1214</v>
      </c>
      <c r="B215" t="s">
        <v>101</v>
      </c>
      <c r="C215" t="s">
        <v>34</v>
      </c>
      <c r="D215">
        <v>33</v>
      </c>
      <c r="E215" t="s">
        <v>22</v>
      </c>
      <c r="F215" t="s">
        <v>62</v>
      </c>
      <c r="G215" t="s">
        <v>24</v>
      </c>
      <c r="H215" t="s">
        <v>25</v>
      </c>
      <c r="I215" t="s">
        <v>48</v>
      </c>
      <c r="J215" t="s">
        <v>49</v>
      </c>
      <c r="K215" t="s">
        <v>280</v>
      </c>
      <c r="L215" t="s">
        <v>42</v>
      </c>
      <c r="M215" t="s">
        <v>51</v>
      </c>
      <c r="N215" t="s">
        <v>31</v>
      </c>
      <c r="O215">
        <v>5</v>
      </c>
      <c r="P215" t="s">
        <v>86</v>
      </c>
      <c r="Q215">
        <v>8</v>
      </c>
      <c r="R215">
        <v>270400</v>
      </c>
      <c r="S215">
        <v>756000</v>
      </c>
      <c r="T215" s="3">
        <v>4685600</v>
      </c>
    </row>
    <row r="216" spans="1:20" x14ac:dyDescent="0.3">
      <c r="A216">
        <v>1215</v>
      </c>
      <c r="B216" t="s">
        <v>54</v>
      </c>
      <c r="C216" t="s">
        <v>21</v>
      </c>
      <c r="D216">
        <v>33</v>
      </c>
      <c r="E216" t="s">
        <v>35</v>
      </c>
      <c r="F216" t="s">
        <v>36</v>
      </c>
      <c r="G216" t="s">
        <v>69</v>
      </c>
      <c r="H216" t="s">
        <v>69</v>
      </c>
      <c r="I216" t="s">
        <v>39</v>
      </c>
      <c r="J216" t="s">
        <v>87</v>
      </c>
      <c r="K216" t="s">
        <v>281</v>
      </c>
      <c r="L216" t="s">
        <v>59</v>
      </c>
      <c r="M216" t="s">
        <v>94</v>
      </c>
      <c r="N216" t="s">
        <v>31</v>
      </c>
      <c r="O216">
        <v>5</v>
      </c>
      <c r="P216" t="s">
        <v>86</v>
      </c>
      <c r="Q216">
        <v>9</v>
      </c>
      <c r="R216">
        <v>99105</v>
      </c>
      <c r="S216">
        <v>1764000</v>
      </c>
      <c r="T216" s="3">
        <v>11464895</v>
      </c>
    </row>
    <row r="217" spans="1:20" x14ac:dyDescent="0.3">
      <c r="A217">
        <v>1216</v>
      </c>
      <c r="B217" t="s">
        <v>104</v>
      </c>
      <c r="C217" t="s">
        <v>34</v>
      </c>
      <c r="D217">
        <v>47</v>
      </c>
      <c r="E217" t="s">
        <v>61</v>
      </c>
      <c r="F217" t="s">
        <v>23</v>
      </c>
      <c r="G217" t="s">
        <v>91</v>
      </c>
      <c r="H217" t="s">
        <v>25</v>
      </c>
      <c r="I217" t="s">
        <v>48</v>
      </c>
      <c r="J217" t="s">
        <v>27</v>
      </c>
      <c r="K217" t="s">
        <v>282</v>
      </c>
      <c r="L217" t="s">
        <v>29</v>
      </c>
      <c r="M217" t="s">
        <v>43</v>
      </c>
      <c r="N217" t="s">
        <v>31</v>
      </c>
      <c r="O217">
        <v>2</v>
      </c>
      <c r="P217" t="s">
        <v>86</v>
      </c>
      <c r="Q217">
        <v>12</v>
      </c>
      <c r="R217">
        <v>142943</v>
      </c>
      <c r="S217">
        <v>2250000</v>
      </c>
      <c r="T217" s="3">
        <v>14607057</v>
      </c>
    </row>
    <row r="218" spans="1:20" x14ac:dyDescent="0.3">
      <c r="A218">
        <v>1217</v>
      </c>
      <c r="B218" t="s">
        <v>108</v>
      </c>
      <c r="C218" t="s">
        <v>21</v>
      </c>
      <c r="D218">
        <v>53</v>
      </c>
      <c r="E218" t="s">
        <v>82</v>
      </c>
      <c r="F218" t="s">
        <v>36</v>
      </c>
      <c r="G218" t="s">
        <v>24</v>
      </c>
      <c r="H218" t="s">
        <v>25</v>
      </c>
      <c r="I218" t="s">
        <v>39</v>
      </c>
      <c r="J218" t="s">
        <v>40</v>
      </c>
      <c r="K218" t="s">
        <v>146</v>
      </c>
      <c r="L218" t="s">
        <v>29</v>
      </c>
      <c r="M218" t="s">
        <v>43</v>
      </c>
      <c r="N218" t="s">
        <v>52</v>
      </c>
      <c r="O218">
        <v>5</v>
      </c>
      <c r="P218" t="s">
        <v>53</v>
      </c>
      <c r="Q218">
        <v>16</v>
      </c>
      <c r="R218">
        <v>174526</v>
      </c>
      <c r="S218">
        <v>1098000</v>
      </c>
      <c r="T218" s="3">
        <v>7023474</v>
      </c>
    </row>
    <row r="219" spans="1:20" x14ac:dyDescent="0.3">
      <c r="A219">
        <v>1218</v>
      </c>
      <c r="B219" t="s">
        <v>45</v>
      </c>
      <c r="C219" t="s">
        <v>21</v>
      </c>
      <c r="D219">
        <v>42</v>
      </c>
      <c r="E219" t="s">
        <v>46</v>
      </c>
      <c r="F219" t="s">
        <v>36</v>
      </c>
      <c r="G219" t="s">
        <v>63</v>
      </c>
      <c r="H219" t="s">
        <v>64</v>
      </c>
      <c r="I219" t="s">
        <v>76</v>
      </c>
      <c r="J219" t="s">
        <v>49</v>
      </c>
      <c r="K219" t="s">
        <v>283</v>
      </c>
      <c r="L219" t="s">
        <v>66</v>
      </c>
      <c r="M219" t="s">
        <v>30</v>
      </c>
      <c r="N219" t="s">
        <v>52</v>
      </c>
      <c r="O219">
        <v>2</v>
      </c>
      <c r="P219" t="s">
        <v>53</v>
      </c>
      <c r="Q219">
        <v>12</v>
      </c>
      <c r="R219">
        <v>84230</v>
      </c>
      <c r="S219">
        <v>5760000</v>
      </c>
      <c r="T219" s="3">
        <v>37675770</v>
      </c>
    </row>
    <row r="220" spans="1:20" x14ac:dyDescent="0.3">
      <c r="A220">
        <v>1219</v>
      </c>
      <c r="B220" t="s">
        <v>79</v>
      </c>
      <c r="C220" t="s">
        <v>21</v>
      </c>
      <c r="D220">
        <v>39</v>
      </c>
      <c r="E220" t="s">
        <v>22</v>
      </c>
      <c r="F220" t="s">
        <v>36</v>
      </c>
      <c r="G220" t="s">
        <v>69</v>
      </c>
      <c r="H220" t="s">
        <v>69</v>
      </c>
      <c r="I220" t="s">
        <v>39</v>
      </c>
      <c r="J220" t="s">
        <v>27</v>
      </c>
      <c r="K220" t="s">
        <v>284</v>
      </c>
      <c r="L220" t="s">
        <v>66</v>
      </c>
      <c r="M220" t="s">
        <v>51</v>
      </c>
      <c r="N220" t="s">
        <v>31</v>
      </c>
      <c r="O220">
        <v>2</v>
      </c>
      <c r="P220" t="s">
        <v>44</v>
      </c>
      <c r="Q220">
        <v>13</v>
      </c>
      <c r="R220">
        <v>157623</v>
      </c>
      <c r="S220">
        <v>756000</v>
      </c>
      <c r="T220" s="3">
        <v>4798377</v>
      </c>
    </row>
    <row r="221" spans="1:20" x14ac:dyDescent="0.3">
      <c r="A221">
        <v>1220</v>
      </c>
      <c r="B221" t="s">
        <v>101</v>
      </c>
      <c r="C221" t="s">
        <v>34</v>
      </c>
      <c r="D221">
        <v>36</v>
      </c>
      <c r="E221" t="s">
        <v>112</v>
      </c>
      <c r="F221" t="s">
        <v>62</v>
      </c>
      <c r="G221" t="s">
        <v>47</v>
      </c>
      <c r="H221" t="s">
        <v>25</v>
      </c>
      <c r="I221" t="s">
        <v>97</v>
      </c>
      <c r="J221" t="s">
        <v>49</v>
      </c>
      <c r="K221" t="s">
        <v>285</v>
      </c>
      <c r="L221" t="s">
        <v>71</v>
      </c>
      <c r="M221" t="s">
        <v>30</v>
      </c>
      <c r="N221" t="s">
        <v>52</v>
      </c>
      <c r="O221">
        <v>3</v>
      </c>
      <c r="P221" t="s">
        <v>32</v>
      </c>
      <c r="Q221">
        <v>25</v>
      </c>
      <c r="R221">
        <v>79593</v>
      </c>
      <c r="S221">
        <v>936000</v>
      </c>
      <c r="T221" s="3">
        <v>6056407</v>
      </c>
    </row>
    <row r="222" spans="1:20" x14ac:dyDescent="0.3">
      <c r="A222">
        <v>1221</v>
      </c>
      <c r="B222" t="s">
        <v>81</v>
      </c>
      <c r="C222" t="s">
        <v>21</v>
      </c>
      <c r="D222">
        <v>41</v>
      </c>
      <c r="E222" t="s">
        <v>73</v>
      </c>
      <c r="F222" t="s">
        <v>36</v>
      </c>
      <c r="G222" t="s">
        <v>74</v>
      </c>
      <c r="H222" t="s">
        <v>75</v>
      </c>
      <c r="I222" t="s">
        <v>76</v>
      </c>
      <c r="J222" t="s">
        <v>49</v>
      </c>
      <c r="K222" t="s">
        <v>286</v>
      </c>
      <c r="L222" t="s">
        <v>29</v>
      </c>
      <c r="M222" t="s">
        <v>94</v>
      </c>
      <c r="N222" t="s">
        <v>52</v>
      </c>
      <c r="O222">
        <v>5</v>
      </c>
      <c r="P222" t="s">
        <v>86</v>
      </c>
      <c r="Q222">
        <v>21</v>
      </c>
      <c r="R222">
        <v>165178</v>
      </c>
      <c r="S222">
        <v>1224000</v>
      </c>
      <c r="T222" s="3">
        <v>7858822</v>
      </c>
    </row>
    <row r="223" spans="1:20" x14ac:dyDescent="0.3">
      <c r="A223">
        <v>1222</v>
      </c>
      <c r="B223" t="s">
        <v>20</v>
      </c>
      <c r="C223" t="s">
        <v>21</v>
      </c>
      <c r="D223">
        <v>41</v>
      </c>
      <c r="E223" t="s">
        <v>61</v>
      </c>
      <c r="F223" t="s">
        <v>55</v>
      </c>
      <c r="G223" t="s">
        <v>63</v>
      </c>
      <c r="H223" t="s">
        <v>64</v>
      </c>
      <c r="I223" t="s">
        <v>97</v>
      </c>
      <c r="J223" t="s">
        <v>49</v>
      </c>
      <c r="K223" t="s">
        <v>192</v>
      </c>
      <c r="L223" t="s">
        <v>42</v>
      </c>
      <c r="M223" t="s">
        <v>78</v>
      </c>
      <c r="N223" t="s">
        <v>52</v>
      </c>
      <c r="O223">
        <v>5</v>
      </c>
      <c r="P223" t="s">
        <v>32</v>
      </c>
      <c r="Q223">
        <v>11</v>
      </c>
      <c r="R223">
        <v>151502</v>
      </c>
      <c r="S223">
        <v>2250000</v>
      </c>
      <c r="T223" s="3">
        <v>14598498</v>
      </c>
    </row>
    <row r="224" spans="1:20" x14ac:dyDescent="0.3">
      <c r="A224">
        <v>1223</v>
      </c>
      <c r="B224" t="s">
        <v>67</v>
      </c>
      <c r="C224" t="s">
        <v>21</v>
      </c>
      <c r="D224">
        <v>32</v>
      </c>
      <c r="E224" t="s">
        <v>73</v>
      </c>
      <c r="F224" t="s">
        <v>23</v>
      </c>
      <c r="G224" t="s">
        <v>56</v>
      </c>
      <c r="H224" t="s">
        <v>57</v>
      </c>
      <c r="I224" t="s">
        <v>97</v>
      </c>
      <c r="J224" t="s">
        <v>27</v>
      </c>
      <c r="K224" t="s">
        <v>148</v>
      </c>
      <c r="L224" t="s">
        <v>71</v>
      </c>
      <c r="M224" t="s">
        <v>94</v>
      </c>
      <c r="N224" t="s">
        <v>52</v>
      </c>
      <c r="O224">
        <v>4</v>
      </c>
      <c r="P224" t="s">
        <v>44</v>
      </c>
      <c r="Q224">
        <v>24</v>
      </c>
      <c r="R224">
        <v>248487</v>
      </c>
      <c r="S224">
        <v>1224000</v>
      </c>
      <c r="T224" s="3">
        <v>7775513</v>
      </c>
    </row>
    <row r="225" spans="1:20" x14ac:dyDescent="0.3">
      <c r="A225">
        <v>1224</v>
      </c>
      <c r="B225" t="s">
        <v>54</v>
      </c>
      <c r="C225" t="s">
        <v>34</v>
      </c>
      <c r="D225">
        <v>26</v>
      </c>
      <c r="E225" t="s">
        <v>22</v>
      </c>
      <c r="F225" t="s">
        <v>36</v>
      </c>
      <c r="G225" t="s">
        <v>115</v>
      </c>
      <c r="H225" t="s">
        <v>106</v>
      </c>
      <c r="I225" t="s">
        <v>48</v>
      </c>
      <c r="J225" t="s">
        <v>87</v>
      </c>
      <c r="K225" t="s">
        <v>287</v>
      </c>
      <c r="L225" t="s">
        <v>42</v>
      </c>
      <c r="M225" t="s">
        <v>30</v>
      </c>
      <c r="N225" t="s">
        <v>31</v>
      </c>
      <c r="O225">
        <v>2</v>
      </c>
      <c r="P225" t="s">
        <v>44</v>
      </c>
      <c r="Q225">
        <v>9</v>
      </c>
      <c r="R225">
        <v>144904</v>
      </c>
      <c r="S225">
        <v>756000</v>
      </c>
      <c r="T225" s="3">
        <v>4811096</v>
      </c>
    </row>
    <row r="226" spans="1:20" x14ac:dyDescent="0.3">
      <c r="A226">
        <v>1225</v>
      </c>
      <c r="B226" t="s">
        <v>99</v>
      </c>
      <c r="C226" t="s">
        <v>34</v>
      </c>
      <c r="D226">
        <v>44</v>
      </c>
      <c r="E226" t="s">
        <v>61</v>
      </c>
      <c r="F226" t="s">
        <v>62</v>
      </c>
      <c r="G226" t="s">
        <v>74</v>
      </c>
      <c r="H226" t="s">
        <v>75</v>
      </c>
      <c r="I226" t="s">
        <v>97</v>
      </c>
      <c r="J226" t="s">
        <v>87</v>
      </c>
      <c r="K226" t="s">
        <v>288</v>
      </c>
      <c r="L226" t="s">
        <v>59</v>
      </c>
      <c r="M226" t="s">
        <v>43</v>
      </c>
      <c r="N226" t="s">
        <v>52</v>
      </c>
      <c r="O226">
        <v>2</v>
      </c>
      <c r="P226" t="s">
        <v>32</v>
      </c>
      <c r="Q226">
        <v>9</v>
      </c>
      <c r="R226">
        <v>223451</v>
      </c>
      <c r="S226">
        <v>2250000</v>
      </c>
      <c r="T226" s="3">
        <v>14526549</v>
      </c>
    </row>
    <row r="227" spans="1:20" x14ac:dyDescent="0.3">
      <c r="A227">
        <v>1226</v>
      </c>
      <c r="B227" t="s">
        <v>95</v>
      </c>
      <c r="C227" t="s">
        <v>34</v>
      </c>
      <c r="D227">
        <v>33</v>
      </c>
      <c r="E227" t="s">
        <v>68</v>
      </c>
      <c r="F227" t="s">
        <v>36</v>
      </c>
      <c r="G227" t="s">
        <v>37</v>
      </c>
      <c r="H227" t="s">
        <v>38</v>
      </c>
      <c r="I227" t="s">
        <v>26</v>
      </c>
      <c r="J227" t="s">
        <v>87</v>
      </c>
      <c r="K227" t="s">
        <v>211</v>
      </c>
      <c r="L227" t="s">
        <v>59</v>
      </c>
      <c r="M227" t="s">
        <v>43</v>
      </c>
      <c r="N227" t="s">
        <v>31</v>
      </c>
      <c r="O227">
        <v>3</v>
      </c>
      <c r="P227" t="s">
        <v>44</v>
      </c>
      <c r="Q227">
        <v>15</v>
      </c>
      <c r="R227">
        <v>129094</v>
      </c>
      <c r="S227">
        <v>846000</v>
      </c>
      <c r="T227" s="3">
        <v>5416906</v>
      </c>
    </row>
    <row r="228" spans="1:20" x14ac:dyDescent="0.3">
      <c r="A228">
        <v>1227</v>
      </c>
      <c r="B228" t="s">
        <v>81</v>
      </c>
      <c r="C228" t="s">
        <v>34</v>
      </c>
      <c r="D228">
        <v>31</v>
      </c>
      <c r="E228" t="s">
        <v>118</v>
      </c>
      <c r="F228" t="s">
        <v>62</v>
      </c>
      <c r="G228" t="s">
        <v>63</v>
      </c>
      <c r="H228" t="s">
        <v>64</v>
      </c>
      <c r="I228" t="s">
        <v>76</v>
      </c>
      <c r="J228" t="s">
        <v>40</v>
      </c>
      <c r="K228" t="s">
        <v>289</v>
      </c>
      <c r="L228" t="s">
        <v>71</v>
      </c>
      <c r="M228" t="s">
        <v>78</v>
      </c>
      <c r="N228" t="s">
        <v>31</v>
      </c>
      <c r="O228">
        <v>3</v>
      </c>
      <c r="P228" t="s">
        <v>86</v>
      </c>
      <c r="Q228">
        <v>6</v>
      </c>
      <c r="R228">
        <v>160615</v>
      </c>
      <c r="S228">
        <v>1350000</v>
      </c>
      <c r="T228" s="3">
        <v>8689385</v>
      </c>
    </row>
    <row r="229" spans="1:20" x14ac:dyDescent="0.3">
      <c r="A229">
        <v>1228</v>
      </c>
      <c r="B229" t="s">
        <v>99</v>
      </c>
      <c r="C229" t="s">
        <v>21</v>
      </c>
      <c r="D229">
        <v>32</v>
      </c>
      <c r="E229" t="s">
        <v>35</v>
      </c>
      <c r="F229" t="s">
        <v>36</v>
      </c>
      <c r="G229" t="s">
        <v>91</v>
      </c>
      <c r="H229" t="s">
        <v>25</v>
      </c>
      <c r="I229" t="s">
        <v>48</v>
      </c>
      <c r="J229" t="s">
        <v>87</v>
      </c>
      <c r="K229" t="s">
        <v>290</v>
      </c>
      <c r="L229" t="s">
        <v>71</v>
      </c>
      <c r="M229" t="s">
        <v>51</v>
      </c>
      <c r="N229" t="s">
        <v>52</v>
      </c>
      <c r="O229">
        <v>4</v>
      </c>
      <c r="P229" t="s">
        <v>53</v>
      </c>
      <c r="Q229">
        <v>24</v>
      </c>
      <c r="R229">
        <v>251720</v>
      </c>
      <c r="S229">
        <v>1764000</v>
      </c>
      <c r="T229" s="3">
        <v>11312280</v>
      </c>
    </row>
    <row r="230" spans="1:20" x14ac:dyDescent="0.3">
      <c r="A230">
        <v>1229</v>
      </c>
      <c r="B230" t="s">
        <v>99</v>
      </c>
      <c r="C230" t="s">
        <v>21</v>
      </c>
      <c r="D230">
        <v>28</v>
      </c>
      <c r="E230" t="s">
        <v>112</v>
      </c>
      <c r="F230" t="s">
        <v>62</v>
      </c>
      <c r="G230" t="s">
        <v>69</v>
      </c>
      <c r="H230" t="s">
        <v>69</v>
      </c>
      <c r="I230" t="s">
        <v>39</v>
      </c>
      <c r="J230" t="s">
        <v>27</v>
      </c>
      <c r="K230" t="s">
        <v>291</v>
      </c>
      <c r="L230" t="s">
        <v>42</v>
      </c>
      <c r="M230" t="s">
        <v>94</v>
      </c>
      <c r="N230" t="s">
        <v>52</v>
      </c>
      <c r="O230">
        <v>3</v>
      </c>
      <c r="P230" t="s">
        <v>32</v>
      </c>
      <c r="Q230">
        <v>8</v>
      </c>
      <c r="R230">
        <v>58192</v>
      </c>
      <c r="S230">
        <v>936000</v>
      </c>
      <c r="T230" s="3">
        <v>6077808</v>
      </c>
    </row>
    <row r="231" spans="1:20" x14ac:dyDescent="0.3">
      <c r="A231">
        <v>1230</v>
      </c>
      <c r="B231" t="s">
        <v>81</v>
      </c>
      <c r="C231" t="s">
        <v>21</v>
      </c>
      <c r="D231">
        <v>39</v>
      </c>
      <c r="E231" t="s">
        <v>46</v>
      </c>
      <c r="F231" t="s">
        <v>36</v>
      </c>
      <c r="G231" t="s">
        <v>47</v>
      </c>
      <c r="H231" t="s">
        <v>25</v>
      </c>
      <c r="I231" t="s">
        <v>48</v>
      </c>
      <c r="J231" t="s">
        <v>27</v>
      </c>
      <c r="K231" t="s">
        <v>292</v>
      </c>
      <c r="L231" t="s">
        <v>29</v>
      </c>
      <c r="M231" t="s">
        <v>43</v>
      </c>
      <c r="N231" t="s">
        <v>52</v>
      </c>
      <c r="O231">
        <v>4</v>
      </c>
      <c r="P231" t="s">
        <v>86</v>
      </c>
      <c r="Q231">
        <v>21</v>
      </c>
      <c r="R231">
        <v>194308</v>
      </c>
      <c r="S231">
        <v>5760000</v>
      </c>
      <c r="T231" s="3">
        <v>37565692</v>
      </c>
    </row>
    <row r="232" spans="1:20" x14ac:dyDescent="0.3">
      <c r="A232">
        <v>1231</v>
      </c>
      <c r="B232" t="s">
        <v>60</v>
      </c>
      <c r="C232" t="s">
        <v>34</v>
      </c>
      <c r="D232">
        <v>30</v>
      </c>
      <c r="E232" t="s">
        <v>22</v>
      </c>
      <c r="F232" t="s">
        <v>55</v>
      </c>
      <c r="G232" t="s">
        <v>56</v>
      </c>
      <c r="H232" t="s">
        <v>57</v>
      </c>
      <c r="I232" t="s">
        <v>97</v>
      </c>
      <c r="J232" t="s">
        <v>49</v>
      </c>
      <c r="K232" t="s">
        <v>217</v>
      </c>
      <c r="L232" t="s">
        <v>59</v>
      </c>
      <c r="M232" t="s">
        <v>94</v>
      </c>
      <c r="N232" t="s">
        <v>52</v>
      </c>
      <c r="O232">
        <v>4</v>
      </c>
      <c r="P232" t="s">
        <v>53</v>
      </c>
      <c r="Q232">
        <v>15</v>
      </c>
      <c r="R232">
        <v>161504</v>
      </c>
      <c r="S232">
        <v>756000</v>
      </c>
      <c r="T232" s="3">
        <v>4794496</v>
      </c>
    </row>
    <row r="233" spans="1:20" x14ac:dyDescent="0.3">
      <c r="A233">
        <v>1232</v>
      </c>
      <c r="B233" t="s">
        <v>108</v>
      </c>
      <c r="C233" t="s">
        <v>21</v>
      </c>
      <c r="D233">
        <v>42</v>
      </c>
      <c r="E233" t="s">
        <v>22</v>
      </c>
      <c r="F233" t="s">
        <v>62</v>
      </c>
      <c r="G233" t="s">
        <v>69</v>
      </c>
      <c r="H233" t="s">
        <v>69</v>
      </c>
      <c r="I233" t="s">
        <v>26</v>
      </c>
      <c r="J233" t="s">
        <v>49</v>
      </c>
      <c r="K233" t="s">
        <v>293</v>
      </c>
      <c r="L233" t="s">
        <v>42</v>
      </c>
      <c r="M233" t="s">
        <v>94</v>
      </c>
      <c r="N233" t="s">
        <v>52</v>
      </c>
      <c r="O233">
        <v>5</v>
      </c>
      <c r="P233" t="s">
        <v>32</v>
      </c>
      <c r="Q233">
        <v>10</v>
      </c>
      <c r="R233">
        <v>89584</v>
      </c>
      <c r="S233">
        <v>756000</v>
      </c>
      <c r="T233" s="3">
        <v>4866416</v>
      </c>
    </row>
    <row r="234" spans="1:20" x14ac:dyDescent="0.3">
      <c r="A234">
        <v>1233</v>
      </c>
      <c r="B234" t="s">
        <v>79</v>
      </c>
      <c r="C234" t="s">
        <v>21</v>
      </c>
      <c r="D234">
        <v>58</v>
      </c>
      <c r="E234" t="s">
        <v>90</v>
      </c>
      <c r="F234" t="s">
        <v>55</v>
      </c>
      <c r="G234" t="s">
        <v>69</v>
      </c>
      <c r="H234" t="s">
        <v>69</v>
      </c>
      <c r="I234" t="s">
        <v>76</v>
      </c>
      <c r="J234" t="s">
        <v>49</v>
      </c>
      <c r="K234" t="s">
        <v>294</v>
      </c>
      <c r="L234" t="s">
        <v>71</v>
      </c>
      <c r="M234" t="s">
        <v>78</v>
      </c>
      <c r="N234" t="s">
        <v>31</v>
      </c>
      <c r="O234">
        <v>4</v>
      </c>
      <c r="P234" t="s">
        <v>86</v>
      </c>
      <c r="Q234">
        <v>8</v>
      </c>
      <c r="R234">
        <v>206505</v>
      </c>
      <c r="S234">
        <v>702000</v>
      </c>
      <c r="T234" s="3">
        <v>4395495</v>
      </c>
    </row>
    <row r="235" spans="1:20" x14ac:dyDescent="0.3">
      <c r="A235">
        <v>1234</v>
      </c>
      <c r="B235" t="s">
        <v>104</v>
      </c>
      <c r="C235" t="s">
        <v>21</v>
      </c>
      <c r="D235">
        <v>26</v>
      </c>
      <c r="E235" t="s">
        <v>82</v>
      </c>
      <c r="F235" t="s">
        <v>55</v>
      </c>
      <c r="G235" t="s">
        <v>74</v>
      </c>
      <c r="H235" t="s">
        <v>75</v>
      </c>
      <c r="I235" t="s">
        <v>39</v>
      </c>
      <c r="J235" t="s">
        <v>49</v>
      </c>
      <c r="K235" t="s">
        <v>98</v>
      </c>
      <c r="L235" t="s">
        <v>71</v>
      </c>
      <c r="M235" t="s">
        <v>51</v>
      </c>
      <c r="N235" t="s">
        <v>52</v>
      </c>
      <c r="O235">
        <v>5</v>
      </c>
      <c r="P235" t="s">
        <v>32</v>
      </c>
      <c r="Q235">
        <v>12</v>
      </c>
      <c r="R235">
        <v>81240</v>
      </c>
      <c r="S235">
        <v>1098000</v>
      </c>
      <c r="T235" s="3">
        <v>7116760</v>
      </c>
    </row>
    <row r="236" spans="1:20" x14ac:dyDescent="0.3">
      <c r="A236">
        <v>1235</v>
      </c>
      <c r="B236" t="s">
        <v>104</v>
      </c>
      <c r="C236" t="s">
        <v>21</v>
      </c>
      <c r="D236">
        <v>45</v>
      </c>
      <c r="E236" t="s">
        <v>22</v>
      </c>
      <c r="F236" t="s">
        <v>62</v>
      </c>
      <c r="G236" t="s">
        <v>69</v>
      </c>
      <c r="H236" t="s">
        <v>69</v>
      </c>
      <c r="I236" t="s">
        <v>39</v>
      </c>
      <c r="J236" t="s">
        <v>49</v>
      </c>
      <c r="K236" t="s">
        <v>295</v>
      </c>
      <c r="L236" t="s">
        <v>59</v>
      </c>
      <c r="M236" t="s">
        <v>43</v>
      </c>
      <c r="N236" t="s">
        <v>52</v>
      </c>
      <c r="O236">
        <v>4</v>
      </c>
      <c r="P236" t="s">
        <v>32</v>
      </c>
      <c r="Q236">
        <v>13</v>
      </c>
      <c r="R236">
        <v>187907</v>
      </c>
      <c r="S236">
        <v>756000</v>
      </c>
      <c r="T236" s="3">
        <v>4768093</v>
      </c>
    </row>
    <row r="237" spans="1:20" x14ac:dyDescent="0.3">
      <c r="A237">
        <v>1236</v>
      </c>
      <c r="B237" t="s">
        <v>108</v>
      </c>
      <c r="C237" t="s">
        <v>21</v>
      </c>
      <c r="D237">
        <v>41</v>
      </c>
      <c r="E237" t="s">
        <v>22</v>
      </c>
      <c r="F237" t="s">
        <v>55</v>
      </c>
      <c r="G237" t="s">
        <v>91</v>
      </c>
      <c r="H237" t="s">
        <v>25</v>
      </c>
      <c r="I237" t="s">
        <v>76</v>
      </c>
      <c r="J237" t="s">
        <v>27</v>
      </c>
      <c r="K237" t="s">
        <v>296</v>
      </c>
      <c r="L237" t="s">
        <v>59</v>
      </c>
      <c r="M237" t="s">
        <v>51</v>
      </c>
      <c r="N237" t="s">
        <v>52</v>
      </c>
      <c r="O237">
        <v>2</v>
      </c>
      <c r="P237" t="s">
        <v>86</v>
      </c>
      <c r="Q237">
        <v>14</v>
      </c>
      <c r="R237">
        <v>124795</v>
      </c>
      <c r="S237">
        <v>756000</v>
      </c>
      <c r="T237" s="3">
        <v>4831205</v>
      </c>
    </row>
    <row r="238" spans="1:20" x14ac:dyDescent="0.3">
      <c r="A238">
        <v>1237</v>
      </c>
      <c r="B238" t="s">
        <v>54</v>
      </c>
      <c r="C238" t="s">
        <v>34</v>
      </c>
      <c r="D238">
        <v>29</v>
      </c>
      <c r="E238" t="s">
        <v>22</v>
      </c>
      <c r="F238" t="s">
        <v>23</v>
      </c>
      <c r="G238" t="s">
        <v>47</v>
      </c>
      <c r="H238" t="s">
        <v>25</v>
      </c>
      <c r="I238" t="s">
        <v>48</v>
      </c>
      <c r="J238" t="s">
        <v>27</v>
      </c>
      <c r="K238" t="s">
        <v>297</v>
      </c>
      <c r="L238" t="s">
        <v>42</v>
      </c>
      <c r="M238" t="s">
        <v>30</v>
      </c>
      <c r="N238" t="s">
        <v>52</v>
      </c>
      <c r="O238">
        <v>3</v>
      </c>
      <c r="P238" t="s">
        <v>53</v>
      </c>
      <c r="Q238">
        <v>25</v>
      </c>
      <c r="R238">
        <v>59978</v>
      </c>
      <c r="S238">
        <v>756000</v>
      </c>
      <c r="T238" s="3">
        <v>4896022</v>
      </c>
    </row>
    <row r="239" spans="1:20" x14ac:dyDescent="0.3">
      <c r="A239">
        <v>1238</v>
      </c>
      <c r="B239" t="s">
        <v>45</v>
      </c>
      <c r="C239" t="s">
        <v>21</v>
      </c>
      <c r="D239">
        <v>43</v>
      </c>
      <c r="E239" t="s">
        <v>35</v>
      </c>
      <c r="F239" t="s">
        <v>55</v>
      </c>
      <c r="G239" t="s">
        <v>24</v>
      </c>
      <c r="H239" t="s">
        <v>25</v>
      </c>
      <c r="I239" t="s">
        <v>97</v>
      </c>
      <c r="J239" t="s">
        <v>87</v>
      </c>
      <c r="K239" t="s">
        <v>298</v>
      </c>
      <c r="L239" t="s">
        <v>66</v>
      </c>
      <c r="M239" t="s">
        <v>78</v>
      </c>
      <c r="N239" t="s">
        <v>52</v>
      </c>
      <c r="O239">
        <v>2</v>
      </c>
      <c r="P239" t="s">
        <v>32</v>
      </c>
      <c r="Q239">
        <v>14</v>
      </c>
      <c r="R239">
        <v>279201</v>
      </c>
      <c r="S239">
        <v>1764000</v>
      </c>
      <c r="T239" s="3">
        <v>11284799</v>
      </c>
    </row>
    <row r="240" spans="1:20" x14ac:dyDescent="0.3">
      <c r="A240">
        <v>1239</v>
      </c>
      <c r="B240" t="s">
        <v>104</v>
      </c>
      <c r="C240" t="s">
        <v>34</v>
      </c>
      <c r="D240">
        <v>41</v>
      </c>
      <c r="E240" t="s">
        <v>112</v>
      </c>
      <c r="F240" t="s">
        <v>36</v>
      </c>
      <c r="G240" t="s">
        <v>115</v>
      </c>
      <c r="H240" t="s">
        <v>106</v>
      </c>
      <c r="I240" t="s">
        <v>76</v>
      </c>
      <c r="J240" t="s">
        <v>87</v>
      </c>
      <c r="K240" t="s">
        <v>299</v>
      </c>
      <c r="L240" t="s">
        <v>71</v>
      </c>
      <c r="M240" t="s">
        <v>51</v>
      </c>
      <c r="N240" t="s">
        <v>31</v>
      </c>
      <c r="O240">
        <v>5</v>
      </c>
      <c r="P240" t="s">
        <v>32</v>
      </c>
      <c r="Q240">
        <v>12</v>
      </c>
      <c r="R240">
        <v>221699</v>
      </c>
      <c r="S240">
        <v>936000</v>
      </c>
      <c r="T240" s="3">
        <v>5914301</v>
      </c>
    </row>
    <row r="241" spans="1:20" x14ac:dyDescent="0.3">
      <c r="A241">
        <v>1240</v>
      </c>
      <c r="B241" t="s">
        <v>20</v>
      </c>
      <c r="C241" t="s">
        <v>21</v>
      </c>
      <c r="D241">
        <v>47</v>
      </c>
      <c r="E241" t="s">
        <v>118</v>
      </c>
      <c r="F241" t="s">
        <v>55</v>
      </c>
      <c r="G241" t="s">
        <v>47</v>
      </c>
      <c r="H241" t="s">
        <v>25</v>
      </c>
      <c r="I241" t="s">
        <v>39</v>
      </c>
      <c r="J241" t="s">
        <v>87</v>
      </c>
      <c r="K241" t="s">
        <v>88</v>
      </c>
      <c r="L241" t="s">
        <v>42</v>
      </c>
      <c r="M241" t="s">
        <v>51</v>
      </c>
      <c r="N241" t="s">
        <v>31</v>
      </c>
      <c r="O241">
        <v>2</v>
      </c>
      <c r="P241" t="s">
        <v>86</v>
      </c>
      <c r="Q241">
        <v>19</v>
      </c>
      <c r="R241">
        <v>221274</v>
      </c>
      <c r="S241">
        <v>1350000</v>
      </c>
      <c r="T241" s="3">
        <v>8628726</v>
      </c>
    </row>
    <row r="242" spans="1:20" x14ac:dyDescent="0.3">
      <c r="A242">
        <v>1241</v>
      </c>
      <c r="B242" t="s">
        <v>99</v>
      </c>
      <c r="C242" t="s">
        <v>21</v>
      </c>
      <c r="D242">
        <v>45</v>
      </c>
      <c r="E242" t="s">
        <v>82</v>
      </c>
      <c r="F242" t="s">
        <v>55</v>
      </c>
      <c r="G242" t="s">
        <v>69</v>
      </c>
      <c r="H242" t="s">
        <v>69</v>
      </c>
      <c r="I242" t="s">
        <v>26</v>
      </c>
      <c r="J242" t="s">
        <v>27</v>
      </c>
      <c r="K242" t="s">
        <v>300</v>
      </c>
      <c r="L242" t="s">
        <v>66</v>
      </c>
      <c r="M242" t="s">
        <v>30</v>
      </c>
      <c r="N242" t="s">
        <v>31</v>
      </c>
      <c r="O242">
        <v>4</v>
      </c>
      <c r="P242" t="s">
        <v>53</v>
      </c>
      <c r="Q242">
        <v>19</v>
      </c>
      <c r="R242">
        <v>289952</v>
      </c>
      <c r="S242">
        <v>1098000</v>
      </c>
      <c r="T242" s="3">
        <v>6908048</v>
      </c>
    </row>
    <row r="243" spans="1:20" x14ac:dyDescent="0.3">
      <c r="A243">
        <v>1242</v>
      </c>
      <c r="B243" t="s">
        <v>79</v>
      </c>
      <c r="C243" t="s">
        <v>34</v>
      </c>
      <c r="D243">
        <v>26</v>
      </c>
      <c r="E243" t="s">
        <v>46</v>
      </c>
      <c r="F243" t="s">
        <v>36</v>
      </c>
      <c r="G243" t="s">
        <v>24</v>
      </c>
      <c r="H243" t="s">
        <v>25</v>
      </c>
      <c r="I243" t="s">
        <v>76</v>
      </c>
      <c r="J243" t="s">
        <v>49</v>
      </c>
      <c r="K243" t="s">
        <v>301</v>
      </c>
      <c r="L243" t="s">
        <v>71</v>
      </c>
      <c r="M243" t="s">
        <v>43</v>
      </c>
      <c r="N243" t="s">
        <v>31</v>
      </c>
      <c r="O243">
        <v>2</v>
      </c>
      <c r="P243" t="s">
        <v>86</v>
      </c>
      <c r="Q243">
        <v>9</v>
      </c>
      <c r="R243">
        <v>189750</v>
      </c>
      <c r="S243">
        <v>5760000</v>
      </c>
      <c r="T243" s="3">
        <v>37570250</v>
      </c>
    </row>
    <row r="244" spans="1:20" x14ac:dyDescent="0.3">
      <c r="A244">
        <v>1243</v>
      </c>
      <c r="B244" t="s">
        <v>67</v>
      </c>
      <c r="C244" t="s">
        <v>21</v>
      </c>
      <c r="D244">
        <v>28</v>
      </c>
      <c r="E244" t="s">
        <v>61</v>
      </c>
      <c r="F244" t="s">
        <v>36</v>
      </c>
      <c r="G244" t="s">
        <v>56</v>
      </c>
      <c r="H244" t="s">
        <v>57</v>
      </c>
      <c r="I244" t="s">
        <v>39</v>
      </c>
      <c r="J244" t="s">
        <v>27</v>
      </c>
      <c r="K244" t="s">
        <v>302</v>
      </c>
      <c r="L244" t="s">
        <v>29</v>
      </c>
      <c r="M244" t="s">
        <v>78</v>
      </c>
      <c r="N244" t="s">
        <v>31</v>
      </c>
      <c r="O244">
        <v>3</v>
      </c>
      <c r="P244" t="s">
        <v>53</v>
      </c>
      <c r="Q244">
        <v>15</v>
      </c>
      <c r="R244">
        <v>166445</v>
      </c>
      <c r="S244">
        <v>2250000</v>
      </c>
      <c r="T244" s="3">
        <v>14583555</v>
      </c>
    </row>
    <row r="245" spans="1:20" x14ac:dyDescent="0.3">
      <c r="A245">
        <v>1244</v>
      </c>
      <c r="B245" t="s">
        <v>33</v>
      </c>
      <c r="C245" t="s">
        <v>21</v>
      </c>
      <c r="D245">
        <v>56</v>
      </c>
      <c r="E245" t="s">
        <v>35</v>
      </c>
      <c r="F245" t="s">
        <v>62</v>
      </c>
      <c r="G245" t="s">
        <v>56</v>
      </c>
      <c r="H245" t="s">
        <v>57</v>
      </c>
      <c r="I245" t="s">
        <v>39</v>
      </c>
      <c r="J245" t="s">
        <v>87</v>
      </c>
      <c r="K245" t="s">
        <v>303</v>
      </c>
      <c r="L245" t="s">
        <v>42</v>
      </c>
      <c r="M245" t="s">
        <v>43</v>
      </c>
      <c r="N245" t="s">
        <v>31</v>
      </c>
      <c r="O245">
        <v>2</v>
      </c>
      <c r="P245" t="s">
        <v>32</v>
      </c>
      <c r="Q245">
        <v>13</v>
      </c>
      <c r="R245">
        <v>54755</v>
      </c>
      <c r="S245">
        <v>1764000</v>
      </c>
      <c r="T245" s="3">
        <v>11509245</v>
      </c>
    </row>
    <row r="246" spans="1:20" x14ac:dyDescent="0.3">
      <c r="A246">
        <v>1245</v>
      </c>
      <c r="B246" t="s">
        <v>114</v>
      </c>
      <c r="C246" t="s">
        <v>34</v>
      </c>
      <c r="D246">
        <v>55</v>
      </c>
      <c r="E246" t="s">
        <v>90</v>
      </c>
      <c r="F246" t="s">
        <v>62</v>
      </c>
      <c r="G246" t="s">
        <v>74</v>
      </c>
      <c r="H246" t="s">
        <v>75</v>
      </c>
      <c r="I246" t="s">
        <v>97</v>
      </c>
      <c r="J246" t="s">
        <v>87</v>
      </c>
      <c r="K246" t="s">
        <v>304</v>
      </c>
      <c r="L246" t="s">
        <v>29</v>
      </c>
      <c r="M246" t="s">
        <v>94</v>
      </c>
      <c r="N246" t="s">
        <v>31</v>
      </c>
      <c r="O246">
        <v>3</v>
      </c>
      <c r="P246" t="s">
        <v>32</v>
      </c>
      <c r="Q246">
        <v>25</v>
      </c>
      <c r="R246">
        <v>58872</v>
      </c>
      <c r="S246">
        <v>702000</v>
      </c>
      <c r="T246" s="3">
        <v>4543128</v>
      </c>
    </row>
    <row r="247" spans="1:20" x14ac:dyDescent="0.3">
      <c r="A247">
        <v>1246</v>
      </c>
      <c r="B247" t="s">
        <v>20</v>
      </c>
      <c r="C247" t="s">
        <v>21</v>
      </c>
      <c r="D247">
        <v>54</v>
      </c>
      <c r="E247" t="s">
        <v>73</v>
      </c>
      <c r="F247" t="s">
        <v>62</v>
      </c>
      <c r="G247" t="s">
        <v>74</v>
      </c>
      <c r="H247" t="s">
        <v>75</v>
      </c>
      <c r="I247" t="s">
        <v>26</v>
      </c>
      <c r="J247" t="s">
        <v>87</v>
      </c>
      <c r="K247" t="s">
        <v>232</v>
      </c>
      <c r="L247" t="s">
        <v>29</v>
      </c>
      <c r="M247" t="s">
        <v>30</v>
      </c>
      <c r="N247" t="s">
        <v>31</v>
      </c>
      <c r="O247">
        <v>3</v>
      </c>
      <c r="P247" t="s">
        <v>32</v>
      </c>
      <c r="Q247">
        <v>25</v>
      </c>
      <c r="R247">
        <v>130225</v>
      </c>
      <c r="S247">
        <v>1224000</v>
      </c>
      <c r="T247" s="3">
        <v>7893775</v>
      </c>
    </row>
    <row r="248" spans="1:20" x14ac:dyDescent="0.3">
      <c r="A248">
        <v>1247</v>
      </c>
      <c r="B248" t="s">
        <v>101</v>
      </c>
      <c r="C248" t="s">
        <v>34</v>
      </c>
      <c r="D248">
        <v>48</v>
      </c>
      <c r="E248" t="s">
        <v>112</v>
      </c>
      <c r="F248" t="s">
        <v>55</v>
      </c>
      <c r="G248" t="s">
        <v>69</v>
      </c>
      <c r="H248" t="s">
        <v>69</v>
      </c>
      <c r="I248" t="s">
        <v>48</v>
      </c>
      <c r="J248" t="s">
        <v>87</v>
      </c>
      <c r="K248" t="s">
        <v>83</v>
      </c>
      <c r="L248" t="s">
        <v>29</v>
      </c>
      <c r="M248" t="s">
        <v>78</v>
      </c>
      <c r="N248" t="s">
        <v>31</v>
      </c>
      <c r="O248">
        <v>5</v>
      </c>
      <c r="P248" t="s">
        <v>32</v>
      </c>
      <c r="Q248">
        <v>17</v>
      </c>
      <c r="R248">
        <v>170170</v>
      </c>
      <c r="S248">
        <v>936000</v>
      </c>
      <c r="T248" s="3">
        <v>5965830</v>
      </c>
    </row>
    <row r="249" spans="1:20" x14ac:dyDescent="0.3">
      <c r="A249">
        <v>1248</v>
      </c>
      <c r="B249" t="s">
        <v>67</v>
      </c>
      <c r="C249" t="s">
        <v>34</v>
      </c>
      <c r="D249">
        <v>43</v>
      </c>
      <c r="E249" t="s">
        <v>35</v>
      </c>
      <c r="F249" t="s">
        <v>62</v>
      </c>
      <c r="G249" t="s">
        <v>47</v>
      </c>
      <c r="H249" t="s">
        <v>25</v>
      </c>
      <c r="I249" t="s">
        <v>26</v>
      </c>
      <c r="J249" t="s">
        <v>40</v>
      </c>
      <c r="K249" t="s">
        <v>305</v>
      </c>
      <c r="L249" t="s">
        <v>29</v>
      </c>
      <c r="M249" t="s">
        <v>30</v>
      </c>
      <c r="N249" t="s">
        <v>31</v>
      </c>
      <c r="O249">
        <v>5</v>
      </c>
      <c r="P249" t="s">
        <v>53</v>
      </c>
      <c r="Q249">
        <v>25</v>
      </c>
      <c r="R249">
        <v>120998</v>
      </c>
      <c r="S249">
        <v>1764000</v>
      </c>
      <c r="T249" s="3">
        <v>11443002</v>
      </c>
    </row>
    <row r="250" spans="1:20" x14ac:dyDescent="0.3">
      <c r="A250">
        <v>1249</v>
      </c>
      <c r="B250" t="s">
        <v>108</v>
      </c>
      <c r="C250" t="s">
        <v>21</v>
      </c>
      <c r="D250">
        <v>28</v>
      </c>
      <c r="E250" t="s">
        <v>46</v>
      </c>
      <c r="F250" t="s">
        <v>55</v>
      </c>
      <c r="G250" t="s">
        <v>115</v>
      </c>
      <c r="H250" t="s">
        <v>106</v>
      </c>
      <c r="I250" t="s">
        <v>39</v>
      </c>
      <c r="J250" t="s">
        <v>40</v>
      </c>
      <c r="K250" t="s">
        <v>306</v>
      </c>
      <c r="L250" t="s">
        <v>42</v>
      </c>
      <c r="M250" t="s">
        <v>43</v>
      </c>
      <c r="N250" t="s">
        <v>31</v>
      </c>
      <c r="O250">
        <v>5</v>
      </c>
      <c r="P250" t="s">
        <v>86</v>
      </c>
      <c r="Q250">
        <v>23</v>
      </c>
      <c r="R250">
        <v>294493</v>
      </c>
      <c r="S250">
        <v>5760000</v>
      </c>
      <c r="T250" s="3">
        <v>37465507</v>
      </c>
    </row>
    <row r="251" spans="1:20" x14ac:dyDescent="0.3">
      <c r="A251">
        <v>1250</v>
      </c>
      <c r="B251" t="s">
        <v>114</v>
      </c>
      <c r="C251" t="s">
        <v>34</v>
      </c>
      <c r="D251">
        <v>48</v>
      </c>
      <c r="E251" t="s">
        <v>90</v>
      </c>
      <c r="F251" t="s">
        <v>55</v>
      </c>
      <c r="G251" t="s">
        <v>91</v>
      </c>
      <c r="H251" t="s">
        <v>25</v>
      </c>
      <c r="I251" t="s">
        <v>26</v>
      </c>
      <c r="J251" t="s">
        <v>40</v>
      </c>
      <c r="K251" t="s">
        <v>147</v>
      </c>
      <c r="L251" t="s">
        <v>29</v>
      </c>
      <c r="M251" t="s">
        <v>78</v>
      </c>
      <c r="N251" t="s">
        <v>31</v>
      </c>
      <c r="O251">
        <v>5</v>
      </c>
      <c r="P251" t="s">
        <v>53</v>
      </c>
      <c r="Q251">
        <v>17</v>
      </c>
      <c r="R251">
        <v>299905</v>
      </c>
      <c r="S251">
        <v>702000</v>
      </c>
      <c r="T251" s="3">
        <v>4302095</v>
      </c>
    </row>
    <row r="252" spans="1:20" x14ac:dyDescent="0.3">
      <c r="A252">
        <v>1251</v>
      </c>
      <c r="B252" t="s">
        <v>45</v>
      </c>
      <c r="C252" t="s">
        <v>21</v>
      </c>
      <c r="D252">
        <v>47</v>
      </c>
      <c r="E252" t="s">
        <v>90</v>
      </c>
      <c r="F252" t="s">
        <v>36</v>
      </c>
      <c r="G252" t="s">
        <v>63</v>
      </c>
      <c r="H252" t="s">
        <v>64</v>
      </c>
      <c r="I252" t="s">
        <v>39</v>
      </c>
      <c r="J252" t="s">
        <v>27</v>
      </c>
      <c r="K252" t="s">
        <v>307</v>
      </c>
      <c r="L252" t="s">
        <v>66</v>
      </c>
      <c r="M252" t="s">
        <v>94</v>
      </c>
      <c r="N252" t="s">
        <v>31</v>
      </c>
      <c r="O252">
        <v>4</v>
      </c>
      <c r="P252" t="s">
        <v>32</v>
      </c>
      <c r="Q252">
        <v>24</v>
      </c>
      <c r="R252">
        <v>165571</v>
      </c>
      <c r="S252">
        <v>702000</v>
      </c>
      <c r="T252" s="3">
        <v>4436429</v>
      </c>
    </row>
    <row r="253" spans="1:20" x14ac:dyDescent="0.3">
      <c r="A253">
        <v>1252</v>
      </c>
      <c r="B253" t="s">
        <v>95</v>
      </c>
      <c r="C253" t="s">
        <v>21</v>
      </c>
      <c r="D253">
        <v>39</v>
      </c>
      <c r="E253" t="s">
        <v>90</v>
      </c>
      <c r="F253" t="s">
        <v>62</v>
      </c>
      <c r="G253" t="s">
        <v>91</v>
      </c>
      <c r="H253" t="s">
        <v>25</v>
      </c>
      <c r="I253" t="s">
        <v>26</v>
      </c>
      <c r="J253" t="s">
        <v>27</v>
      </c>
      <c r="K253" t="s">
        <v>308</v>
      </c>
      <c r="L253" t="s">
        <v>59</v>
      </c>
      <c r="M253" t="s">
        <v>51</v>
      </c>
      <c r="N253" t="s">
        <v>52</v>
      </c>
      <c r="O253">
        <v>5</v>
      </c>
      <c r="P253" t="s">
        <v>32</v>
      </c>
      <c r="Q253">
        <v>8</v>
      </c>
      <c r="R253">
        <v>196038</v>
      </c>
      <c r="S253">
        <v>702000</v>
      </c>
      <c r="T253" s="3">
        <v>4405962</v>
      </c>
    </row>
    <row r="254" spans="1:20" x14ac:dyDescent="0.3">
      <c r="A254">
        <v>1253</v>
      </c>
      <c r="B254" t="s">
        <v>99</v>
      </c>
      <c r="C254" t="s">
        <v>21</v>
      </c>
      <c r="D254">
        <v>56</v>
      </c>
      <c r="E254" t="s">
        <v>46</v>
      </c>
      <c r="F254" t="s">
        <v>62</v>
      </c>
      <c r="G254" t="s">
        <v>69</v>
      </c>
      <c r="H254" t="s">
        <v>69</v>
      </c>
      <c r="I254" t="s">
        <v>39</v>
      </c>
      <c r="J254" t="s">
        <v>27</v>
      </c>
      <c r="K254" t="s">
        <v>309</v>
      </c>
      <c r="L254" t="s">
        <v>66</v>
      </c>
      <c r="M254" t="s">
        <v>43</v>
      </c>
      <c r="N254" t="s">
        <v>31</v>
      </c>
      <c r="O254">
        <v>3</v>
      </c>
      <c r="P254" t="s">
        <v>32</v>
      </c>
      <c r="Q254">
        <v>18</v>
      </c>
      <c r="R254">
        <v>76093</v>
      </c>
      <c r="S254">
        <v>5760000</v>
      </c>
      <c r="T254" s="3">
        <v>37683907</v>
      </c>
    </row>
    <row r="255" spans="1:20" x14ac:dyDescent="0.3">
      <c r="A255">
        <v>1254</v>
      </c>
      <c r="B255" t="s">
        <v>67</v>
      </c>
      <c r="C255" t="s">
        <v>21</v>
      </c>
      <c r="D255">
        <v>43</v>
      </c>
      <c r="E255" t="s">
        <v>82</v>
      </c>
      <c r="F255" t="s">
        <v>55</v>
      </c>
      <c r="G255" t="s">
        <v>69</v>
      </c>
      <c r="H255" t="s">
        <v>69</v>
      </c>
      <c r="I255" t="s">
        <v>97</v>
      </c>
      <c r="J255" t="s">
        <v>27</v>
      </c>
      <c r="K255" t="s">
        <v>310</v>
      </c>
      <c r="L255" t="s">
        <v>29</v>
      </c>
      <c r="M255" t="s">
        <v>94</v>
      </c>
      <c r="N255" t="s">
        <v>31</v>
      </c>
      <c r="O255">
        <v>3</v>
      </c>
      <c r="P255" t="s">
        <v>44</v>
      </c>
      <c r="Q255">
        <v>20</v>
      </c>
      <c r="R255">
        <v>64773</v>
      </c>
      <c r="S255">
        <v>1098000</v>
      </c>
      <c r="T255" s="3">
        <v>7133227</v>
      </c>
    </row>
    <row r="256" spans="1:20" x14ac:dyDescent="0.3">
      <c r="A256">
        <v>1255</v>
      </c>
      <c r="B256" t="s">
        <v>95</v>
      </c>
      <c r="C256" t="s">
        <v>21</v>
      </c>
      <c r="D256">
        <v>32</v>
      </c>
      <c r="E256" t="s">
        <v>82</v>
      </c>
      <c r="F256" t="s">
        <v>55</v>
      </c>
      <c r="G256" t="s">
        <v>74</v>
      </c>
      <c r="H256" t="s">
        <v>75</v>
      </c>
      <c r="I256" t="s">
        <v>48</v>
      </c>
      <c r="J256" t="s">
        <v>49</v>
      </c>
      <c r="K256" t="s">
        <v>311</v>
      </c>
      <c r="L256" t="s">
        <v>29</v>
      </c>
      <c r="M256" t="s">
        <v>43</v>
      </c>
      <c r="N256" t="s">
        <v>52</v>
      </c>
      <c r="O256">
        <v>3</v>
      </c>
      <c r="P256" t="s">
        <v>44</v>
      </c>
      <c r="Q256">
        <v>6</v>
      </c>
      <c r="R256">
        <v>290293</v>
      </c>
      <c r="S256">
        <v>1098000</v>
      </c>
      <c r="T256" s="3">
        <v>6907707</v>
      </c>
    </row>
    <row r="257" spans="1:20" x14ac:dyDescent="0.3">
      <c r="A257">
        <v>1256</v>
      </c>
      <c r="B257" t="s">
        <v>72</v>
      </c>
      <c r="C257" t="s">
        <v>21</v>
      </c>
      <c r="D257">
        <v>55</v>
      </c>
      <c r="E257" t="s">
        <v>46</v>
      </c>
      <c r="F257" t="s">
        <v>36</v>
      </c>
      <c r="G257" t="s">
        <v>74</v>
      </c>
      <c r="H257" t="s">
        <v>75</v>
      </c>
      <c r="I257" t="s">
        <v>97</v>
      </c>
      <c r="J257" t="s">
        <v>27</v>
      </c>
      <c r="K257" t="s">
        <v>284</v>
      </c>
      <c r="L257" t="s">
        <v>71</v>
      </c>
      <c r="M257" t="s">
        <v>78</v>
      </c>
      <c r="N257" t="s">
        <v>52</v>
      </c>
      <c r="O257">
        <v>2</v>
      </c>
      <c r="P257" t="s">
        <v>44</v>
      </c>
      <c r="Q257">
        <v>9</v>
      </c>
      <c r="R257">
        <v>265715</v>
      </c>
      <c r="S257">
        <v>5760000</v>
      </c>
      <c r="T257" s="3">
        <v>37494285</v>
      </c>
    </row>
    <row r="258" spans="1:20" x14ac:dyDescent="0.3">
      <c r="A258">
        <v>1257</v>
      </c>
      <c r="B258" t="s">
        <v>114</v>
      </c>
      <c r="C258" t="s">
        <v>34</v>
      </c>
      <c r="D258">
        <v>29</v>
      </c>
      <c r="E258" t="s">
        <v>22</v>
      </c>
      <c r="F258" t="s">
        <v>36</v>
      </c>
      <c r="G258" t="s">
        <v>37</v>
      </c>
      <c r="H258" t="s">
        <v>38</v>
      </c>
      <c r="I258" t="s">
        <v>76</v>
      </c>
      <c r="J258" t="s">
        <v>27</v>
      </c>
      <c r="K258" t="s">
        <v>312</v>
      </c>
      <c r="L258" t="s">
        <v>29</v>
      </c>
      <c r="M258" t="s">
        <v>51</v>
      </c>
      <c r="N258" t="s">
        <v>52</v>
      </c>
      <c r="O258">
        <v>2</v>
      </c>
      <c r="P258" t="s">
        <v>44</v>
      </c>
      <c r="Q258">
        <v>6</v>
      </c>
      <c r="R258">
        <v>193275</v>
      </c>
      <c r="S258">
        <v>756000</v>
      </c>
      <c r="T258" s="3">
        <v>4762725</v>
      </c>
    </row>
    <row r="259" spans="1:20" x14ac:dyDescent="0.3">
      <c r="A259">
        <v>1258</v>
      </c>
      <c r="B259" t="s">
        <v>95</v>
      </c>
      <c r="C259" t="s">
        <v>34</v>
      </c>
      <c r="D259">
        <v>34</v>
      </c>
      <c r="E259" t="s">
        <v>73</v>
      </c>
      <c r="F259" t="s">
        <v>23</v>
      </c>
      <c r="G259" t="s">
        <v>56</v>
      </c>
      <c r="H259" t="s">
        <v>57</v>
      </c>
      <c r="I259" t="s">
        <v>76</v>
      </c>
      <c r="J259" t="s">
        <v>87</v>
      </c>
      <c r="K259" t="s">
        <v>313</v>
      </c>
      <c r="L259" t="s">
        <v>59</v>
      </c>
      <c r="M259" t="s">
        <v>30</v>
      </c>
      <c r="N259" t="s">
        <v>52</v>
      </c>
      <c r="O259">
        <v>2</v>
      </c>
      <c r="P259" t="s">
        <v>44</v>
      </c>
      <c r="Q259">
        <v>21</v>
      </c>
      <c r="R259">
        <v>101719</v>
      </c>
      <c r="S259">
        <v>1224000</v>
      </c>
      <c r="T259" s="3">
        <v>7922281</v>
      </c>
    </row>
    <row r="260" spans="1:20" x14ac:dyDescent="0.3">
      <c r="A260">
        <v>1259</v>
      </c>
      <c r="B260" t="s">
        <v>67</v>
      </c>
      <c r="C260" t="s">
        <v>34</v>
      </c>
      <c r="D260">
        <v>57</v>
      </c>
      <c r="E260" t="s">
        <v>61</v>
      </c>
      <c r="F260" t="s">
        <v>36</v>
      </c>
      <c r="G260" t="s">
        <v>63</v>
      </c>
      <c r="H260" t="s">
        <v>64</v>
      </c>
      <c r="I260" t="s">
        <v>48</v>
      </c>
      <c r="J260" t="s">
        <v>40</v>
      </c>
      <c r="K260" t="s">
        <v>314</v>
      </c>
      <c r="L260" t="s">
        <v>59</v>
      </c>
      <c r="M260" t="s">
        <v>78</v>
      </c>
      <c r="N260" t="s">
        <v>52</v>
      </c>
      <c r="O260">
        <v>2</v>
      </c>
      <c r="P260" t="s">
        <v>53</v>
      </c>
      <c r="Q260">
        <v>9</v>
      </c>
      <c r="R260">
        <v>244801</v>
      </c>
      <c r="S260">
        <v>2250000</v>
      </c>
      <c r="T260" s="3">
        <v>14505199</v>
      </c>
    </row>
    <row r="261" spans="1:20" x14ac:dyDescent="0.3">
      <c r="A261">
        <v>1260</v>
      </c>
      <c r="B261" t="s">
        <v>101</v>
      </c>
      <c r="C261" t="s">
        <v>34</v>
      </c>
      <c r="D261">
        <v>25</v>
      </c>
      <c r="E261" t="s">
        <v>61</v>
      </c>
      <c r="F261" t="s">
        <v>55</v>
      </c>
      <c r="G261" t="s">
        <v>24</v>
      </c>
      <c r="H261" t="s">
        <v>25</v>
      </c>
      <c r="I261" t="s">
        <v>48</v>
      </c>
      <c r="J261" t="s">
        <v>27</v>
      </c>
      <c r="K261" t="s">
        <v>315</v>
      </c>
      <c r="L261" t="s">
        <v>71</v>
      </c>
      <c r="M261" t="s">
        <v>51</v>
      </c>
      <c r="N261" t="s">
        <v>31</v>
      </c>
      <c r="O261">
        <v>4</v>
      </c>
      <c r="P261" t="s">
        <v>44</v>
      </c>
      <c r="Q261">
        <v>20</v>
      </c>
      <c r="R261">
        <v>53646</v>
      </c>
      <c r="S261">
        <v>2250000</v>
      </c>
      <c r="T261" s="3">
        <v>14696354</v>
      </c>
    </row>
    <row r="262" spans="1:20" x14ac:dyDescent="0.3">
      <c r="A262">
        <v>1261</v>
      </c>
      <c r="B262" t="s">
        <v>104</v>
      </c>
      <c r="C262" t="s">
        <v>21</v>
      </c>
      <c r="D262">
        <v>37</v>
      </c>
      <c r="E262" t="s">
        <v>35</v>
      </c>
      <c r="F262" t="s">
        <v>62</v>
      </c>
      <c r="G262" t="s">
        <v>47</v>
      </c>
      <c r="H262" t="s">
        <v>25</v>
      </c>
      <c r="I262" t="s">
        <v>76</v>
      </c>
      <c r="J262" t="s">
        <v>27</v>
      </c>
      <c r="K262" t="s">
        <v>316</v>
      </c>
      <c r="L262" t="s">
        <v>59</v>
      </c>
      <c r="M262" t="s">
        <v>43</v>
      </c>
      <c r="N262" t="s">
        <v>52</v>
      </c>
      <c r="O262">
        <v>5</v>
      </c>
      <c r="P262" t="s">
        <v>44</v>
      </c>
      <c r="Q262">
        <v>8</v>
      </c>
      <c r="R262">
        <v>258381</v>
      </c>
      <c r="S262">
        <v>1764000</v>
      </c>
      <c r="T262" s="3">
        <v>11305619</v>
      </c>
    </row>
    <row r="263" spans="1:20" x14ac:dyDescent="0.3">
      <c r="A263">
        <v>1262</v>
      </c>
      <c r="B263" t="s">
        <v>45</v>
      </c>
      <c r="C263" t="s">
        <v>21</v>
      </c>
      <c r="D263">
        <v>30</v>
      </c>
      <c r="E263" t="s">
        <v>118</v>
      </c>
      <c r="F263" t="s">
        <v>36</v>
      </c>
      <c r="G263" t="s">
        <v>115</v>
      </c>
      <c r="H263" t="s">
        <v>106</v>
      </c>
      <c r="I263" t="s">
        <v>26</v>
      </c>
      <c r="J263" t="s">
        <v>40</v>
      </c>
      <c r="K263" t="s">
        <v>317</v>
      </c>
      <c r="L263" t="s">
        <v>66</v>
      </c>
      <c r="M263" t="s">
        <v>43</v>
      </c>
      <c r="N263" t="s">
        <v>52</v>
      </c>
      <c r="O263">
        <v>3</v>
      </c>
      <c r="P263" t="s">
        <v>32</v>
      </c>
      <c r="Q263">
        <v>20</v>
      </c>
      <c r="R263">
        <v>289250</v>
      </c>
      <c r="S263">
        <v>1350000</v>
      </c>
      <c r="T263" s="3">
        <v>8560750</v>
      </c>
    </row>
    <row r="264" spans="1:20" x14ac:dyDescent="0.3">
      <c r="A264">
        <v>1263</v>
      </c>
      <c r="B264" t="s">
        <v>101</v>
      </c>
      <c r="C264" t="s">
        <v>34</v>
      </c>
      <c r="D264">
        <v>36</v>
      </c>
      <c r="E264" t="s">
        <v>35</v>
      </c>
      <c r="F264" t="s">
        <v>62</v>
      </c>
      <c r="G264" t="s">
        <v>74</v>
      </c>
      <c r="H264" t="s">
        <v>75</v>
      </c>
      <c r="I264" t="s">
        <v>39</v>
      </c>
      <c r="J264" t="s">
        <v>40</v>
      </c>
      <c r="K264" t="s">
        <v>193</v>
      </c>
      <c r="L264" t="s">
        <v>42</v>
      </c>
      <c r="M264" t="s">
        <v>51</v>
      </c>
      <c r="N264" t="s">
        <v>31</v>
      </c>
      <c r="O264">
        <v>3</v>
      </c>
      <c r="P264" t="s">
        <v>53</v>
      </c>
      <c r="Q264">
        <v>16</v>
      </c>
      <c r="R264">
        <v>94911</v>
      </c>
      <c r="S264">
        <v>1764000</v>
      </c>
      <c r="T264" s="3">
        <v>11469089</v>
      </c>
    </row>
    <row r="265" spans="1:20" x14ac:dyDescent="0.3">
      <c r="A265">
        <v>1264</v>
      </c>
      <c r="B265" t="s">
        <v>33</v>
      </c>
      <c r="C265" t="s">
        <v>34</v>
      </c>
      <c r="D265">
        <v>45</v>
      </c>
      <c r="E265" t="s">
        <v>35</v>
      </c>
      <c r="F265" t="s">
        <v>23</v>
      </c>
      <c r="G265" t="s">
        <v>56</v>
      </c>
      <c r="H265" t="s">
        <v>57</v>
      </c>
      <c r="I265" t="s">
        <v>97</v>
      </c>
      <c r="J265" t="s">
        <v>49</v>
      </c>
      <c r="K265" t="s">
        <v>318</v>
      </c>
      <c r="L265" t="s">
        <v>59</v>
      </c>
      <c r="M265" t="s">
        <v>94</v>
      </c>
      <c r="N265" t="s">
        <v>31</v>
      </c>
      <c r="O265">
        <v>2</v>
      </c>
      <c r="P265" t="s">
        <v>53</v>
      </c>
      <c r="Q265">
        <v>11</v>
      </c>
      <c r="R265">
        <v>77848</v>
      </c>
      <c r="S265">
        <v>1764000</v>
      </c>
      <c r="T265" s="3">
        <v>11486152</v>
      </c>
    </row>
    <row r="266" spans="1:20" x14ac:dyDescent="0.3">
      <c r="A266">
        <v>1265</v>
      </c>
      <c r="B266" t="s">
        <v>54</v>
      </c>
      <c r="C266" t="s">
        <v>34</v>
      </c>
      <c r="D266">
        <v>48</v>
      </c>
      <c r="E266" t="s">
        <v>22</v>
      </c>
      <c r="F266" t="s">
        <v>62</v>
      </c>
      <c r="G266" t="s">
        <v>115</v>
      </c>
      <c r="H266" t="s">
        <v>106</v>
      </c>
      <c r="I266" t="s">
        <v>48</v>
      </c>
      <c r="J266" t="s">
        <v>27</v>
      </c>
      <c r="K266" t="s">
        <v>319</v>
      </c>
      <c r="L266" t="s">
        <v>66</v>
      </c>
      <c r="M266" t="s">
        <v>94</v>
      </c>
      <c r="N266" t="s">
        <v>31</v>
      </c>
      <c r="O266">
        <v>5</v>
      </c>
      <c r="P266" t="s">
        <v>86</v>
      </c>
      <c r="Q266">
        <v>9</v>
      </c>
      <c r="R266">
        <v>64181</v>
      </c>
      <c r="S266">
        <v>756000</v>
      </c>
      <c r="T266" s="3">
        <v>4891819</v>
      </c>
    </row>
    <row r="267" spans="1:20" x14ac:dyDescent="0.3">
      <c r="A267">
        <v>1266</v>
      </c>
      <c r="B267" t="s">
        <v>95</v>
      </c>
      <c r="C267" t="s">
        <v>34</v>
      </c>
      <c r="D267">
        <v>55</v>
      </c>
      <c r="E267" t="s">
        <v>46</v>
      </c>
      <c r="F267" t="s">
        <v>55</v>
      </c>
      <c r="G267" t="s">
        <v>47</v>
      </c>
      <c r="H267" t="s">
        <v>25</v>
      </c>
      <c r="I267" t="s">
        <v>26</v>
      </c>
      <c r="J267" t="s">
        <v>87</v>
      </c>
      <c r="K267" t="s">
        <v>209</v>
      </c>
      <c r="L267" t="s">
        <v>71</v>
      </c>
      <c r="M267" t="s">
        <v>51</v>
      </c>
      <c r="N267" t="s">
        <v>31</v>
      </c>
      <c r="O267">
        <v>2</v>
      </c>
      <c r="P267" t="s">
        <v>86</v>
      </c>
      <c r="Q267">
        <v>16</v>
      </c>
      <c r="R267">
        <v>99668</v>
      </c>
      <c r="S267">
        <v>5760000</v>
      </c>
      <c r="T267" s="3">
        <v>37660332</v>
      </c>
    </row>
    <row r="268" spans="1:20" x14ac:dyDescent="0.3">
      <c r="A268">
        <v>1267</v>
      </c>
      <c r="B268" t="s">
        <v>54</v>
      </c>
      <c r="C268" t="s">
        <v>21</v>
      </c>
      <c r="D268">
        <v>39</v>
      </c>
      <c r="E268" t="s">
        <v>35</v>
      </c>
      <c r="F268" t="s">
        <v>36</v>
      </c>
      <c r="G268" t="s">
        <v>115</v>
      </c>
      <c r="H268" t="s">
        <v>106</v>
      </c>
      <c r="I268" t="s">
        <v>26</v>
      </c>
      <c r="J268" t="s">
        <v>87</v>
      </c>
      <c r="K268" t="s">
        <v>320</v>
      </c>
      <c r="L268" t="s">
        <v>66</v>
      </c>
      <c r="M268" t="s">
        <v>30</v>
      </c>
      <c r="N268" t="s">
        <v>52</v>
      </c>
      <c r="O268">
        <v>4</v>
      </c>
      <c r="P268" t="s">
        <v>86</v>
      </c>
      <c r="Q268">
        <v>10</v>
      </c>
      <c r="R268">
        <v>198785</v>
      </c>
      <c r="S268">
        <v>1764000</v>
      </c>
      <c r="T268" s="3">
        <v>11365215</v>
      </c>
    </row>
    <row r="269" spans="1:20" x14ac:dyDescent="0.3">
      <c r="A269">
        <v>1268</v>
      </c>
      <c r="B269" t="s">
        <v>79</v>
      </c>
      <c r="C269" t="s">
        <v>34</v>
      </c>
      <c r="D269">
        <v>26</v>
      </c>
      <c r="E269" t="s">
        <v>90</v>
      </c>
      <c r="F269" t="s">
        <v>36</v>
      </c>
      <c r="G269" t="s">
        <v>24</v>
      </c>
      <c r="H269" t="s">
        <v>25</v>
      </c>
      <c r="I269" t="s">
        <v>76</v>
      </c>
      <c r="J269" t="s">
        <v>49</v>
      </c>
      <c r="K269" t="s">
        <v>321</v>
      </c>
      <c r="L269" t="s">
        <v>42</v>
      </c>
      <c r="M269" t="s">
        <v>78</v>
      </c>
      <c r="N269" t="s">
        <v>52</v>
      </c>
      <c r="O269">
        <v>5</v>
      </c>
      <c r="P269" t="s">
        <v>32</v>
      </c>
      <c r="Q269">
        <v>10</v>
      </c>
      <c r="R269">
        <v>128524</v>
      </c>
      <c r="S269">
        <v>702000</v>
      </c>
      <c r="T269" s="3">
        <v>4473476</v>
      </c>
    </row>
    <row r="270" spans="1:20" x14ac:dyDescent="0.3">
      <c r="A270">
        <v>1269</v>
      </c>
      <c r="B270" t="s">
        <v>54</v>
      </c>
      <c r="C270" t="s">
        <v>21</v>
      </c>
      <c r="D270">
        <v>56</v>
      </c>
      <c r="E270" t="s">
        <v>73</v>
      </c>
      <c r="F270" t="s">
        <v>23</v>
      </c>
      <c r="G270" t="s">
        <v>24</v>
      </c>
      <c r="H270" t="s">
        <v>25</v>
      </c>
      <c r="I270" t="s">
        <v>97</v>
      </c>
      <c r="J270" t="s">
        <v>27</v>
      </c>
      <c r="K270" t="s">
        <v>322</v>
      </c>
      <c r="L270" t="s">
        <v>71</v>
      </c>
      <c r="M270" t="s">
        <v>30</v>
      </c>
      <c r="N270" t="s">
        <v>31</v>
      </c>
      <c r="O270">
        <v>4</v>
      </c>
      <c r="P270" t="s">
        <v>44</v>
      </c>
      <c r="Q270">
        <v>6</v>
      </c>
      <c r="R270">
        <v>70869</v>
      </c>
      <c r="S270">
        <v>1224000</v>
      </c>
      <c r="T270" s="3">
        <v>7953131</v>
      </c>
    </row>
    <row r="271" spans="1:20" x14ac:dyDescent="0.3">
      <c r="A271">
        <v>1270</v>
      </c>
      <c r="B271" t="s">
        <v>60</v>
      </c>
      <c r="C271" t="s">
        <v>34</v>
      </c>
      <c r="D271">
        <v>52</v>
      </c>
      <c r="E271" t="s">
        <v>35</v>
      </c>
      <c r="F271" t="s">
        <v>23</v>
      </c>
      <c r="G271" t="s">
        <v>63</v>
      </c>
      <c r="H271" t="s">
        <v>64</v>
      </c>
      <c r="I271" t="s">
        <v>39</v>
      </c>
      <c r="J271" t="s">
        <v>87</v>
      </c>
      <c r="K271" t="s">
        <v>230</v>
      </c>
      <c r="L271" t="s">
        <v>66</v>
      </c>
      <c r="M271" t="s">
        <v>43</v>
      </c>
      <c r="N271" t="s">
        <v>31</v>
      </c>
      <c r="O271">
        <v>4</v>
      </c>
      <c r="P271" t="s">
        <v>32</v>
      </c>
      <c r="Q271">
        <v>16</v>
      </c>
      <c r="R271">
        <v>298945</v>
      </c>
      <c r="S271">
        <v>1764000</v>
      </c>
      <c r="T271" s="3">
        <v>11265055</v>
      </c>
    </row>
    <row r="272" spans="1:20" x14ac:dyDescent="0.3">
      <c r="A272">
        <v>1271</v>
      </c>
      <c r="B272" t="s">
        <v>45</v>
      </c>
      <c r="C272" t="s">
        <v>21</v>
      </c>
      <c r="D272">
        <v>46</v>
      </c>
      <c r="E272" t="s">
        <v>73</v>
      </c>
      <c r="F272" t="s">
        <v>62</v>
      </c>
      <c r="G272" t="s">
        <v>56</v>
      </c>
      <c r="H272" t="s">
        <v>57</v>
      </c>
      <c r="I272" t="s">
        <v>26</v>
      </c>
      <c r="J272" t="s">
        <v>49</v>
      </c>
      <c r="K272" t="s">
        <v>323</v>
      </c>
      <c r="L272" t="s">
        <v>59</v>
      </c>
      <c r="M272" t="s">
        <v>78</v>
      </c>
      <c r="N272" t="s">
        <v>31</v>
      </c>
      <c r="O272">
        <v>2</v>
      </c>
      <c r="P272" t="s">
        <v>86</v>
      </c>
      <c r="Q272">
        <v>13</v>
      </c>
      <c r="R272">
        <v>230302</v>
      </c>
      <c r="S272">
        <v>1224000</v>
      </c>
      <c r="T272" s="3">
        <v>7793698</v>
      </c>
    </row>
    <row r="273" spans="1:20" x14ac:dyDescent="0.3">
      <c r="A273">
        <v>1272</v>
      </c>
      <c r="B273" t="s">
        <v>104</v>
      </c>
      <c r="C273" t="s">
        <v>34</v>
      </c>
      <c r="D273">
        <v>43</v>
      </c>
      <c r="E273" t="s">
        <v>73</v>
      </c>
      <c r="F273" t="s">
        <v>62</v>
      </c>
      <c r="G273" t="s">
        <v>74</v>
      </c>
      <c r="H273" t="s">
        <v>75</v>
      </c>
      <c r="I273" t="s">
        <v>26</v>
      </c>
      <c r="J273" t="s">
        <v>87</v>
      </c>
      <c r="K273" t="s">
        <v>324</v>
      </c>
      <c r="L273" t="s">
        <v>29</v>
      </c>
      <c r="M273" t="s">
        <v>51</v>
      </c>
      <c r="N273" t="s">
        <v>31</v>
      </c>
      <c r="O273">
        <v>5</v>
      </c>
      <c r="P273" t="s">
        <v>44</v>
      </c>
      <c r="Q273">
        <v>9</v>
      </c>
      <c r="R273">
        <v>127654</v>
      </c>
      <c r="S273">
        <v>1224000</v>
      </c>
      <c r="T273" s="3">
        <v>7896346</v>
      </c>
    </row>
    <row r="274" spans="1:20" x14ac:dyDescent="0.3">
      <c r="A274">
        <v>1273</v>
      </c>
      <c r="B274" t="s">
        <v>72</v>
      </c>
      <c r="C274" t="s">
        <v>21</v>
      </c>
      <c r="D274">
        <v>58</v>
      </c>
      <c r="E274" t="s">
        <v>68</v>
      </c>
      <c r="F274" t="s">
        <v>36</v>
      </c>
      <c r="G274" t="s">
        <v>56</v>
      </c>
      <c r="H274" t="s">
        <v>57</v>
      </c>
      <c r="I274" t="s">
        <v>76</v>
      </c>
      <c r="J274" t="s">
        <v>49</v>
      </c>
      <c r="K274" t="s">
        <v>325</v>
      </c>
      <c r="L274" t="s">
        <v>59</v>
      </c>
      <c r="M274" t="s">
        <v>51</v>
      </c>
      <c r="N274" t="s">
        <v>52</v>
      </c>
      <c r="O274">
        <v>4</v>
      </c>
      <c r="P274" t="s">
        <v>53</v>
      </c>
      <c r="Q274">
        <v>12</v>
      </c>
      <c r="R274">
        <v>221780</v>
      </c>
      <c r="S274">
        <v>846000</v>
      </c>
      <c r="T274" s="3">
        <v>5324220</v>
      </c>
    </row>
    <row r="275" spans="1:20" x14ac:dyDescent="0.3">
      <c r="A275">
        <v>1274</v>
      </c>
      <c r="B275" t="s">
        <v>67</v>
      </c>
      <c r="C275" t="s">
        <v>34</v>
      </c>
      <c r="D275">
        <v>41</v>
      </c>
      <c r="E275" t="s">
        <v>46</v>
      </c>
      <c r="F275" t="s">
        <v>62</v>
      </c>
      <c r="G275" t="s">
        <v>115</v>
      </c>
      <c r="H275" t="s">
        <v>106</v>
      </c>
      <c r="I275" t="s">
        <v>26</v>
      </c>
      <c r="J275" t="s">
        <v>27</v>
      </c>
      <c r="K275" t="s">
        <v>326</v>
      </c>
      <c r="L275" t="s">
        <v>66</v>
      </c>
      <c r="M275" t="s">
        <v>78</v>
      </c>
      <c r="N275" t="s">
        <v>52</v>
      </c>
      <c r="O275">
        <v>3</v>
      </c>
      <c r="P275" t="s">
        <v>44</v>
      </c>
      <c r="Q275">
        <v>16</v>
      </c>
      <c r="R275">
        <v>87432</v>
      </c>
      <c r="S275">
        <v>5760000</v>
      </c>
      <c r="T275" s="3">
        <v>37672568</v>
      </c>
    </row>
    <row r="276" spans="1:20" x14ac:dyDescent="0.3">
      <c r="A276">
        <v>1275</v>
      </c>
      <c r="B276" t="s">
        <v>45</v>
      </c>
      <c r="C276" t="s">
        <v>21</v>
      </c>
      <c r="D276">
        <v>57</v>
      </c>
      <c r="E276" t="s">
        <v>82</v>
      </c>
      <c r="F276" t="s">
        <v>36</v>
      </c>
      <c r="G276" t="s">
        <v>91</v>
      </c>
      <c r="H276" t="s">
        <v>25</v>
      </c>
      <c r="I276" t="s">
        <v>26</v>
      </c>
      <c r="J276" t="s">
        <v>87</v>
      </c>
      <c r="K276" t="s">
        <v>240</v>
      </c>
      <c r="L276" t="s">
        <v>59</v>
      </c>
      <c r="M276" t="s">
        <v>30</v>
      </c>
      <c r="N276" t="s">
        <v>31</v>
      </c>
      <c r="O276">
        <v>2</v>
      </c>
      <c r="P276" t="s">
        <v>53</v>
      </c>
      <c r="Q276">
        <v>15</v>
      </c>
      <c r="R276">
        <v>158985</v>
      </c>
      <c r="S276">
        <v>1098000</v>
      </c>
      <c r="T276" s="3">
        <v>7039015</v>
      </c>
    </row>
    <row r="277" spans="1:20" x14ac:dyDescent="0.3">
      <c r="A277">
        <v>1276</v>
      </c>
      <c r="B277" t="s">
        <v>20</v>
      </c>
      <c r="C277" t="s">
        <v>34</v>
      </c>
      <c r="D277">
        <v>41</v>
      </c>
      <c r="E277" t="s">
        <v>68</v>
      </c>
      <c r="F277" t="s">
        <v>23</v>
      </c>
      <c r="G277" t="s">
        <v>37</v>
      </c>
      <c r="H277" t="s">
        <v>38</v>
      </c>
      <c r="I277" t="s">
        <v>97</v>
      </c>
      <c r="J277" t="s">
        <v>40</v>
      </c>
      <c r="K277" t="s">
        <v>327</v>
      </c>
      <c r="L277" t="s">
        <v>29</v>
      </c>
      <c r="M277" t="s">
        <v>94</v>
      </c>
      <c r="N277" t="s">
        <v>52</v>
      </c>
      <c r="O277">
        <v>2</v>
      </c>
      <c r="P277" t="s">
        <v>53</v>
      </c>
      <c r="Q277">
        <v>17</v>
      </c>
      <c r="R277">
        <v>112826</v>
      </c>
      <c r="S277">
        <v>846000</v>
      </c>
      <c r="T277" s="3">
        <v>5433174</v>
      </c>
    </row>
    <row r="278" spans="1:20" x14ac:dyDescent="0.3">
      <c r="A278">
        <v>1277</v>
      </c>
      <c r="B278" t="s">
        <v>20</v>
      </c>
      <c r="C278" t="s">
        <v>34</v>
      </c>
      <c r="D278">
        <v>59</v>
      </c>
      <c r="E278" t="s">
        <v>90</v>
      </c>
      <c r="F278" t="s">
        <v>36</v>
      </c>
      <c r="G278" t="s">
        <v>63</v>
      </c>
      <c r="H278" t="s">
        <v>64</v>
      </c>
      <c r="I278" t="s">
        <v>97</v>
      </c>
      <c r="J278" t="s">
        <v>27</v>
      </c>
      <c r="K278" t="s">
        <v>328</v>
      </c>
      <c r="L278" t="s">
        <v>29</v>
      </c>
      <c r="M278" t="s">
        <v>78</v>
      </c>
      <c r="N278" t="s">
        <v>52</v>
      </c>
      <c r="O278">
        <v>5</v>
      </c>
      <c r="P278" t="s">
        <v>44</v>
      </c>
      <c r="Q278">
        <v>21</v>
      </c>
      <c r="R278">
        <v>71163</v>
      </c>
      <c r="S278">
        <v>702000</v>
      </c>
      <c r="T278" s="3">
        <v>4530837</v>
      </c>
    </row>
    <row r="279" spans="1:20" x14ac:dyDescent="0.3">
      <c r="A279">
        <v>1278</v>
      </c>
      <c r="B279" t="s">
        <v>60</v>
      </c>
      <c r="C279" t="s">
        <v>21</v>
      </c>
      <c r="D279">
        <v>45</v>
      </c>
      <c r="E279" t="s">
        <v>22</v>
      </c>
      <c r="F279" t="s">
        <v>55</v>
      </c>
      <c r="G279" t="s">
        <v>115</v>
      </c>
      <c r="H279" t="s">
        <v>106</v>
      </c>
      <c r="I279" t="s">
        <v>97</v>
      </c>
      <c r="J279" t="s">
        <v>40</v>
      </c>
      <c r="K279" t="s">
        <v>329</v>
      </c>
      <c r="L279" t="s">
        <v>42</v>
      </c>
      <c r="M279" t="s">
        <v>94</v>
      </c>
      <c r="N279" t="s">
        <v>31</v>
      </c>
      <c r="O279">
        <v>2</v>
      </c>
      <c r="P279" t="s">
        <v>44</v>
      </c>
      <c r="Q279">
        <v>20</v>
      </c>
      <c r="R279">
        <v>256817</v>
      </c>
      <c r="S279">
        <v>756000</v>
      </c>
      <c r="T279" s="3">
        <v>4699183</v>
      </c>
    </row>
    <row r="280" spans="1:20" x14ac:dyDescent="0.3">
      <c r="A280">
        <v>1279</v>
      </c>
      <c r="B280" t="s">
        <v>95</v>
      </c>
      <c r="C280" t="s">
        <v>34</v>
      </c>
      <c r="D280">
        <v>30</v>
      </c>
      <c r="E280" t="s">
        <v>90</v>
      </c>
      <c r="F280" t="s">
        <v>62</v>
      </c>
      <c r="G280" t="s">
        <v>74</v>
      </c>
      <c r="H280" t="s">
        <v>75</v>
      </c>
      <c r="I280" t="s">
        <v>48</v>
      </c>
      <c r="J280" t="s">
        <v>40</v>
      </c>
      <c r="K280" t="s">
        <v>330</v>
      </c>
      <c r="L280" t="s">
        <v>66</v>
      </c>
      <c r="M280" t="s">
        <v>94</v>
      </c>
      <c r="N280" t="s">
        <v>52</v>
      </c>
      <c r="O280">
        <v>3</v>
      </c>
      <c r="P280" t="s">
        <v>86</v>
      </c>
      <c r="Q280">
        <v>23</v>
      </c>
      <c r="R280">
        <v>265449</v>
      </c>
      <c r="S280">
        <v>702000</v>
      </c>
      <c r="T280" s="3">
        <v>4336551</v>
      </c>
    </row>
    <row r="281" spans="1:20" x14ac:dyDescent="0.3">
      <c r="A281">
        <v>1280</v>
      </c>
      <c r="B281" t="s">
        <v>72</v>
      </c>
      <c r="C281" t="s">
        <v>21</v>
      </c>
      <c r="D281">
        <v>49</v>
      </c>
      <c r="E281" t="s">
        <v>82</v>
      </c>
      <c r="F281" t="s">
        <v>62</v>
      </c>
      <c r="G281" t="s">
        <v>47</v>
      </c>
      <c r="H281" t="s">
        <v>25</v>
      </c>
      <c r="I281" t="s">
        <v>26</v>
      </c>
      <c r="J281" t="s">
        <v>27</v>
      </c>
      <c r="K281" t="s">
        <v>331</v>
      </c>
      <c r="L281" t="s">
        <v>71</v>
      </c>
      <c r="M281" t="s">
        <v>78</v>
      </c>
      <c r="N281" t="s">
        <v>31</v>
      </c>
      <c r="O281">
        <v>4</v>
      </c>
      <c r="P281" t="s">
        <v>32</v>
      </c>
      <c r="Q281">
        <v>23</v>
      </c>
      <c r="R281">
        <v>149591</v>
      </c>
      <c r="S281">
        <v>1098000</v>
      </c>
      <c r="T281" s="3">
        <v>7048409</v>
      </c>
    </row>
    <row r="282" spans="1:20" x14ac:dyDescent="0.3">
      <c r="A282">
        <v>1281</v>
      </c>
      <c r="B282" t="s">
        <v>95</v>
      </c>
      <c r="C282" t="s">
        <v>34</v>
      </c>
      <c r="D282">
        <v>33</v>
      </c>
      <c r="E282" t="s">
        <v>35</v>
      </c>
      <c r="F282" t="s">
        <v>23</v>
      </c>
      <c r="G282" t="s">
        <v>105</v>
      </c>
      <c r="H282" t="s">
        <v>106</v>
      </c>
      <c r="I282" t="s">
        <v>76</v>
      </c>
      <c r="J282" t="s">
        <v>40</v>
      </c>
      <c r="K282" t="s">
        <v>332</v>
      </c>
      <c r="L282" t="s">
        <v>66</v>
      </c>
      <c r="M282" t="s">
        <v>78</v>
      </c>
      <c r="N282" t="s">
        <v>52</v>
      </c>
      <c r="O282">
        <v>2</v>
      </c>
      <c r="P282" t="s">
        <v>86</v>
      </c>
      <c r="Q282">
        <v>18</v>
      </c>
      <c r="R282">
        <v>249088</v>
      </c>
      <c r="S282">
        <v>1764000</v>
      </c>
      <c r="T282" s="3">
        <v>11314912</v>
      </c>
    </row>
    <row r="283" spans="1:20" x14ac:dyDescent="0.3">
      <c r="A283">
        <v>1282</v>
      </c>
      <c r="B283" t="s">
        <v>67</v>
      </c>
      <c r="C283" t="s">
        <v>34</v>
      </c>
      <c r="D283">
        <v>55</v>
      </c>
      <c r="E283" t="s">
        <v>46</v>
      </c>
      <c r="F283" t="s">
        <v>23</v>
      </c>
      <c r="G283" t="s">
        <v>24</v>
      </c>
      <c r="H283" t="s">
        <v>25</v>
      </c>
      <c r="I283" t="s">
        <v>48</v>
      </c>
      <c r="J283" t="s">
        <v>87</v>
      </c>
      <c r="K283" t="s">
        <v>149</v>
      </c>
      <c r="L283" t="s">
        <v>66</v>
      </c>
      <c r="M283" t="s">
        <v>51</v>
      </c>
      <c r="N283" t="s">
        <v>52</v>
      </c>
      <c r="O283">
        <v>3</v>
      </c>
      <c r="P283" t="s">
        <v>32</v>
      </c>
      <c r="Q283">
        <v>19</v>
      </c>
      <c r="R283">
        <v>102017</v>
      </c>
      <c r="S283">
        <v>5760000</v>
      </c>
      <c r="T283" s="3">
        <v>37657983</v>
      </c>
    </row>
    <row r="284" spans="1:20" x14ac:dyDescent="0.3">
      <c r="A284">
        <v>1283</v>
      </c>
      <c r="B284" t="s">
        <v>33</v>
      </c>
      <c r="C284" t="s">
        <v>21</v>
      </c>
      <c r="D284">
        <v>30</v>
      </c>
      <c r="E284" t="s">
        <v>68</v>
      </c>
      <c r="F284" t="s">
        <v>55</v>
      </c>
      <c r="G284" t="s">
        <v>24</v>
      </c>
      <c r="H284" t="s">
        <v>25</v>
      </c>
      <c r="I284" t="s">
        <v>39</v>
      </c>
      <c r="J284" t="s">
        <v>40</v>
      </c>
      <c r="K284" t="s">
        <v>255</v>
      </c>
      <c r="L284" t="s">
        <v>29</v>
      </c>
      <c r="M284" t="s">
        <v>51</v>
      </c>
      <c r="N284" t="s">
        <v>52</v>
      </c>
      <c r="O284">
        <v>5</v>
      </c>
      <c r="P284" t="s">
        <v>32</v>
      </c>
      <c r="Q284">
        <v>13</v>
      </c>
      <c r="R284">
        <v>67176</v>
      </c>
      <c r="S284">
        <v>846000</v>
      </c>
      <c r="T284" s="3">
        <v>5478824</v>
      </c>
    </row>
    <row r="285" spans="1:20" x14ac:dyDescent="0.3">
      <c r="A285">
        <v>1284</v>
      </c>
      <c r="B285" t="s">
        <v>33</v>
      </c>
      <c r="C285" t="s">
        <v>21</v>
      </c>
      <c r="D285">
        <v>49</v>
      </c>
      <c r="E285" t="s">
        <v>22</v>
      </c>
      <c r="F285" t="s">
        <v>62</v>
      </c>
      <c r="G285" t="s">
        <v>37</v>
      </c>
      <c r="H285" t="s">
        <v>38</v>
      </c>
      <c r="I285" t="s">
        <v>48</v>
      </c>
      <c r="J285" t="s">
        <v>49</v>
      </c>
      <c r="K285" t="s">
        <v>333</v>
      </c>
      <c r="L285" t="s">
        <v>71</v>
      </c>
      <c r="M285" t="s">
        <v>94</v>
      </c>
      <c r="N285" t="s">
        <v>31</v>
      </c>
      <c r="O285">
        <v>2</v>
      </c>
      <c r="P285" t="s">
        <v>44</v>
      </c>
      <c r="Q285">
        <v>23</v>
      </c>
      <c r="R285">
        <v>58194</v>
      </c>
      <c r="S285">
        <v>756000</v>
      </c>
      <c r="T285" s="3">
        <v>4897806</v>
      </c>
    </row>
    <row r="286" spans="1:20" x14ac:dyDescent="0.3">
      <c r="A286">
        <v>1285</v>
      </c>
      <c r="B286" t="s">
        <v>72</v>
      </c>
      <c r="C286" t="s">
        <v>34</v>
      </c>
      <c r="D286">
        <v>44</v>
      </c>
      <c r="E286" t="s">
        <v>35</v>
      </c>
      <c r="F286" t="s">
        <v>23</v>
      </c>
      <c r="G286" t="s">
        <v>69</v>
      </c>
      <c r="H286" t="s">
        <v>69</v>
      </c>
      <c r="I286" t="s">
        <v>39</v>
      </c>
      <c r="J286" t="s">
        <v>40</v>
      </c>
      <c r="K286" t="s">
        <v>334</v>
      </c>
      <c r="L286" t="s">
        <v>66</v>
      </c>
      <c r="M286" t="s">
        <v>51</v>
      </c>
      <c r="N286" t="s">
        <v>31</v>
      </c>
      <c r="O286">
        <v>5</v>
      </c>
      <c r="P286" t="s">
        <v>86</v>
      </c>
      <c r="Q286">
        <v>6</v>
      </c>
      <c r="R286">
        <v>209767</v>
      </c>
      <c r="S286">
        <v>1764000</v>
      </c>
      <c r="T286" s="3">
        <v>11354233</v>
      </c>
    </row>
    <row r="287" spans="1:20" x14ac:dyDescent="0.3">
      <c r="A287">
        <v>1286</v>
      </c>
      <c r="B287" t="s">
        <v>81</v>
      </c>
      <c r="C287" t="s">
        <v>34</v>
      </c>
      <c r="D287">
        <v>45</v>
      </c>
      <c r="E287" t="s">
        <v>61</v>
      </c>
      <c r="F287" t="s">
        <v>23</v>
      </c>
      <c r="G287" t="s">
        <v>56</v>
      </c>
      <c r="H287" t="s">
        <v>57</v>
      </c>
      <c r="I287" t="s">
        <v>39</v>
      </c>
      <c r="J287" t="s">
        <v>40</v>
      </c>
      <c r="K287" t="s">
        <v>335</v>
      </c>
      <c r="L287" t="s">
        <v>42</v>
      </c>
      <c r="M287" t="s">
        <v>43</v>
      </c>
      <c r="N287" t="s">
        <v>31</v>
      </c>
      <c r="O287">
        <v>5</v>
      </c>
      <c r="P287" t="s">
        <v>53</v>
      </c>
      <c r="Q287">
        <v>6</v>
      </c>
      <c r="R287">
        <v>221318</v>
      </c>
      <c r="S287">
        <v>2250000</v>
      </c>
      <c r="T287" s="3">
        <v>14528682</v>
      </c>
    </row>
    <row r="288" spans="1:20" x14ac:dyDescent="0.3">
      <c r="A288">
        <v>1287</v>
      </c>
      <c r="B288" t="s">
        <v>79</v>
      </c>
      <c r="C288" t="s">
        <v>21</v>
      </c>
      <c r="D288">
        <v>49</v>
      </c>
      <c r="E288" t="s">
        <v>68</v>
      </c>
      <c r="F288" t="s">
        <v>23</v>
      </c>
      <c r="G288" t="s">
        <v>91</v>
      </c>
      <c r="H288" t="s">
        <v>25</v>
      </c>
      <c r="I288" t="s">
        <v>97</v>
      </c>
      <c r="J288" t="s">
        <v>87</v>
      </c>
      <c r="K288" t="s">
        <v>336</v>
      </c>
      <c r="L288" t="s">
        <v>66</v>
      </c>
      <c r="M288" t="s">
        <v>43</v>
      </c>
      <c r="N288" t="s">
        <v>52</v>
      </c>
      <c r="O288">
        <v>4</v>
      </c>
      <c r="P288" t="s">
        <v>86</v>
      </c>
      <c r="Q288">
        <v>17</v>
      </c>
      <c r="R288">
        <v>256535</v>
      </c>
      <c r="S288">
        <v>846000</v>
      </c>
      <c r="T288" s="3">
        <v>5289465</v>
      </c>
    </row>
    <row r="289" spans="1:20" x14ac:dyDescent="0.3">
      <c r="A289">
        <v>1288</v>
      </c>
      <c r="B289" t="s">
        <v>99</v>
      </c>
      <c r="C289" t="s">
        <v>21</v>
      </c>
      <c r="D289">
        <v>55</v>
      </c>
      <c r="E289" t="s">
        <v>46</v>
      </c>
      <c r="F289" t="s">
        <v>23</v>
      </c>
      <c r="G289" t="s">
        <v>24</v>
      </c>
      <c r="H289" t="s">
        <v>25</v>
      </c>
      <c r="I289" t="s">
        <v>48</v>
      </c>
      <c r="J289" t="s">
        <v>49</v>
      </c>
      <c r="K289" t="s">
        <v>337</v>
      </c>
      <c r="L289" t="s">
        <v>42</v>
      </c>
      <c r="M289" t="s">
        <v>43</v>
      </c>
      <c r="N289" t="s">
        <v>52</v>
      </c>
      <c r="O289">
        <v>5</v>
      </c>
      <c r="P289" t="s">
        <v>44</v>
      </c>
      <c r="Q289">
        <v>12</v>
      </c>
      <c r="R289">
        <v>191783</v>
      </c>
      <c r="S289">
        <v>5760000</v>
      </c>
      <c r="T289" s="3">
        <v>37568217</v>
      </c>
    </row>
    <row r="290" spans="1:20" x14ac:dyDescent="0.3">
      <c r="A290">
        <v>1289</v>
      </c>
      <c r="B290" t="s">
        <v>108</v>
      </c>
      <c r="C290" t="s">
        <v>34</v>
      </c>
      <c r="D290">
        <v>41</v>
      </c>
      <c r="E290" t="s">
        <v>112</v>
      </c>
      <c r="F290" t="s">
        <v>36</v>
      </c>
      <c r="G290" t="s">
        <v>105</v>
      </c>
      <c r="H290" t="s">
        <v>106</v>
      </c>
      <c r="I290" t="s">
        <v>48</v>
      </c>
      <c r="J290" t="s">
        <v>87</v>
      </c>
      <c r="K290" t="s">
        <v>338</v>
      </c>
      <c r="L290" t="s">
        <v>29</v>
      </c>
      <c r="M290" t="s">
        <v>78</v>
      </c>
      <c r="N290" t="s">
        <v>52</v>
      </c>
      <c r="O290">
        <v>4</v>
      </c>
      <c r="P290" t="s">
        <v>44</v>
      </c>
      <c r="Q290">
        <v>20</v>
      </c>
      <c r="R290">
        <v>183325</v>
      </c>
      <c r="S290">
        <v>936000</v>
      </c>
      <c r="T290" s="3">
        <v>5952675</v>
      </c>
    </row>
    <row r="291" spans="1:20" x14ac:dyDescent="0.3">
      <c r="A291">
        <v>1290</v>
      </c>
      <c r="B291" t="s">
        <v>60</v>
      </c>
      <c r="C291" t="s">
        <v>34</v>
      </c>
      <c r="D291">
        <v>28</v>
      </c>
      <c r="E291" t="s">
        <v>73</v>
      </c>
      <c r="F291" t="s">
        <v>55</v>
      </c>
      <c r="G291" t="s">
        <v>24</v>
      </c>
      <c r="H291" t="s">
        <v>25</v>
      </c>
      <c r="I291" t="s">
        <v>48</v>
      </c>
      <c r="J291" t="s">
        <v>27</v>
      </c>
      <c r="K291" t="s">
        <v>339</v>
      </c>
      <c r="L291" t="s">
        <v>42</v>
      </c>
      <c r="M291" t="s">
        <v>94</v>
      </c>
      <c r="N291" t="s">
        <v>52</v>
      </c>
      <c r="O291">
        <v>4</v>
      </c>
      <c r="P291" t="s">
        <v>53</v>
      </c>
      <c r="Q291">
        <v>22</v>
      </c>
      <c r="R291">
        <v>95412</v>
      </c>
      <c r="S291">
        <v>1224000</v>
      </c>
      <c r="T291" s="3">
        <v>7928588</v>
      </c>
    </row>
    <row r="292" spans="1:20" x14ac:dyDescent="0.3">
      <c r="A292">
        <v>1291</v>
      </c>
      <c r="B292" t="s">
        <v>101</v>
      </c>
      <c r="C292" t="s">
        <v>34</v>
      </c>
      <c r="D292">
        <v>42</v>
      </c>
      <c r="E292" t="s">
        <v>68</v>
      </c>
      <c r="F292" t="s">
        <v>23</v>
      </c>
      <c r="G292" t="s">
        <v>37</v>
      </c>
      <c r="H292" t="s">
        <v>38</v>
      </c>
      <c r="I292" t="s">
        <v>48</v>
      </c>
      <c r="J292" t="s">
        <v>87</v>
      </c>
      <c r="K292" t="s">
        <v>340</v>
      </c>
      <c r="L292" t="s">
        <v>42</v>
      </c>
      <c r="M292" t="s">
        <v>78</v>
      </c>
      <c r="N292" t="s">
        <v>31</v>
      </c>
      <c r="O292">
        <v>5</v>
      </c>
      <c r="P292" t="s">
        <v>86</v>
      </c>
      <c r="Q292">
        <v>9</v>
      </c>
      <c r="R292">
        <v>220795</v>
      </c>
      <c r="S292">
        <v>846000</v>
      </c>
      <c r="T292" s="3">
        <v>5325205</v>
      </c>
    </row>
    <row r="293" spans="1:20" x14ac:dyDescent="0.3">
      <c r="A293">
        <v>1292</v>
      </c>
      <c r="B293" t="s">
        <v>33</v>
      </c>
      <c r="C293" t="s">
        <v>21</v>
      </c>
      <c r="D293">
        <v>25</v>
      </c>
      <c r="E293" t="s">
        <v>46</v>
      </c>
      <c r="F293" t="s">
        <v>23</v>
      </c>
      <c r="G293" t="s">
        <v>69</v>
      </c>
      <c r="H293" t="s">
        <v>69</v>
      </c>
      <c r="I293" t="s">
        <v>26</v>
      </c>
      <c r="J293" t="s">
        <v>27</v>
      </c>
      <c r="K293" t="s">
        <v>215</v>
      </c>
      <c r="L293" t="s">
        <v>66</v>
      </c>
      <c r="M293" t="s">
        <v>43</v>
      </c>
      <c r="N293" t="s">
        <v>31</v>
      </c>
      <c r="O293">
        <v>2</v>
      </c>
      <c r="P293" t="s">
        <v>44</v>
      </c>
      <c r="Q293">
        <v>19</v>
      </c>
      <c r="R293">
        <v>230594</v>
      </c>
      <c r="S293">
        <v>5760000</v>
      </c>
      <c r="T293" s="3">
        <v>37529406</v>
      </c>
    </row>
    <row r="294" spans="1:20" x14ac:dyDescent="0.3">
      <c r="A294">
        <v>1293</v>
      </c>
      <c r="B294" t="s">
        <v>95</v>
      </c>
      <c r="C294" t="s">
        <v>34</v>
      </c>
      <c r="D294">
        <v>51</v>
      </c>
      <c r="E294" t="s">
        <v>73</v>
      </c>
      <c r="F294" t="s">
        <v>62</v>
      </c>
      <c r="G294" t="s">
        <v>69</v>
      </c>
      <c r="H294" t="s">
        <v>69</v>
      </c>
      <c r="I294" t="s">
        <v>39</v>
      </c>
      <c r="J294" t="s">
        <v>49</v>
      </c>
      <c r="K294" t="s">
        <v>341</v>
      </c>
      <c r="L294" t="s">
        <v>42</v>
      </c>
      <c r="M294" t="s">
        <v>43</v>
      </c>
      <c r="N294" t="s">
        <v>31</v>
      </c>
      <c r="O294">
        <v>4</v>
      </c>
      <c r="P294" t="s">
        <v>32</v>
      </c>
      <c r="Q294">
        <v>8</v>
      </c>
      <c r="R294">
        <v>193139</v>
      </c>
      <c r="S294">
        <v>1224000</v>
      </c>
      <c r="T294" s="3">
        <v>7830861</v>
      </c>
    </row>
    <row r="295" spans="1:20" x14ac:dyDescent="0.3">
      <c r="A295">
        <v>1294</v>
      </c>
      <c r="B295" t="s">
        <v>95</v>
      </c>
      <c r="C295" t="s">
        <v>21</v>
      </c>
      <c r="D295">
        <v>43</v>
      </c>
      <c r="E295" t="s">
        <v>118</v>
      </c>
      <c r="F295" t="s">
        <v>36</v>
      </c>
      <c r="G295" t="s">
        <v>115</v>
      </c>
      <c r="H295" t="s">
        <v>106</v>
      </c>
      <c r="I295" t="s">
        <v>97</v>
      </c>
      <c r="J295" t="s">
        <v>27</v>
      </c>
      <c r="K295" t="s">
        <v>342</v>
      </c>
      <c r="L295" t="s">
        <v>66</v>
      </c>
      <c r="M295" t="s">
        <v>94</v>
      </c>
      <c r="N295" t="s">
        <v>31</v>
      </c>
      <c r="O295">
        <v>5</v>
      </c>
      <c r="P295" t="s">
        <v>44</v>
      </c>
      <c r="Q295">
        <v>25</v>
      </c>
      <c r="R295">
        <v>151413</v>
      </c>
      <c r="S295">
        <v>1350000</v>
      </c>
      <c r="T295" s="3">
        <v>8698587</v>
      </c>
    </row>
    <row r="296" spans="1:20" x14ac:dyDescent="0.3">
      <c r="A296">
        <v>1295</v>
      </c>
      <c r="B296" t="s">
        <v>99</v>
      </c>
      <c r="C296" t="s">
        <v>34</v>
      </c>
      <c r="D296">
        <v>56</v>
      </c>
      <c r="E296" t="s">
        <v>22</v>
      </c>
      <c r="F296" t="s">
        <v>36</v>
      </c>
      <c r="G296" t="s">
        <v>63</v>
      </c>
      <c r="H296" t="s">
        <v>64</v>
      </c>
      <c r="I296" t="s">
        <v>26</v>
      </c>
      <c r="J296" t="s">
        <v>27</v>
      </c>
      <c r="K296" t="s">
        <v>343</v>
      </c>
      <c r="L296" t="s">
        <v>59</v>
      </c>
      <c r="M296" t="s">
        <v>51</v>
      </c>
      <c r="N296" t="s">
        <v>31</v>
      </c>
      <c r="O296">
        <v>3</v>
      </c>
      <c r="P296" t="s">
        <v>44</v>
      </c>
      <c r="Q296">
        <v>20</v>
      </c>
      <c r="R296">
        <v>74501</v>
      </c>
      <c r="S296">
        <v>756000</v>
      </c>
      <c r="T296" s="3">
        <v>4881499</v>
      </c>
    </row>
    <row r="297" spans="1:20" x14ac:dyDescent="0.3">
      <c r="A297">
        <v>1296</v>
      </c>
      <c r="B297" t="s">
        <v>33</v>
      </c>
      <c r="C297" t="s">
        <v>21</v>
      </c>
      <c r="D297">
        <v>56</v>
      </c>
      <c r="E297" t="s">
        <v>22</v>
      </c>
      <c r="F297" t="s">
        <v>62</v>
      </c>
      <c r="G297" t="s">
        <v>115</v>
      </c>
      <c r="H297" t="s">
        <v>106</v>
      </c>
      <c r="I297" t="s">
        <v>76</v>
      </c>
      <c r="J297" t="s">
        <v>49</v>
      </c>
      <c r="K297" t="s">
        <v>344</v>
      </c>
      <c r="L297" t="s">
        <v>71</v>
      </c>
      <c r="M297" t="s">
        <v>78</v>
      </c>
      <c r="N297" t="s">
        <v>31</v>
      </c>
      <c r="O297">
        <v>3</v>
      </c>
      <c r="P297" t="s">
        <v>53</v>
      </c>
      <c r="Q297">
        <v>21</v>
      </c>
      <c r="R297">
        <v>54166</v>
      </c>
      <c r="S297">
        <v>756000</v>
      </c>
      <c r="T297" s="3">
        <v>4901834</v>
      </c>
    </row>
    <row r="298" spans="1:20" x14ac:dyDescent="0.3">
      <c r="A298">
        <v>1297</v>
      </c>
      <c r="B298" t="s">
        <v>114</v>
      </c>
      <c r="C298" t="s">
        <v>21</v>
      </c>
      <c r="D298">
        <v>46</v>
      </c>
      <c r="E298" t="s">
        <v>68</v>
      </c>
      <c r="F298" t="s">
        <v>62</v>
      </c>
      <c r="G298" t="s">
        <v>37</v>
      </c>
      <c r="H298" t="s">
        <v>38</v>
      </c>
      <c r="I298" t="s">
        <v>76</v>
      </c>
      <c r="J298" t="s">
        <v>49</v>
      </c>
      <c r="K298" t="s">
        <v>345</v>
      </c>
      <c r="L298" t="s">
        <v>71</v>
      </c>
      <c r="M298" t="s">
        <v>30</v>
      </c>
      <c r="N298" t="s">
        <v>31</v>
      </c>
      <c r="O298">
        <v>2</v>
      </c>
      <c r="P298" t="s">
        <v>53</v>
      </c>
      <c r="Q298">
        <v>7</v>
      </c>
      <c r="R298">
        <v>201611</v>
      </c>
      <c r="S298">
        <v>846000</v>
      </c>
      <c r="T298" s="3">
        <v>5344389</v>
      </c>
    </row>
    <row r="299" spans="1:20" x14ac:dyDescent="0.3">
      <c r="A299">
        <v>1298</v>
      </c>
      <c r="B299" t="s">
        <v>79</v>
      </c>
      <c r="C299" t="s">
        <v>34</v>
      </c>
      <c r="D299">
        <v>50</v>
      </c>
      <c r="E299" t="s">
        <v>73</v>
      </c>
      <c r="F299" t="s">
        <v>36</v>
      </c>
      <c r="G299" t="s">
        <v>37</v>
      </c>
      <c r="H299" t="s">
        <v>38</v>
      </c>
      <c r="I299" t="s">
        <v>48</v>
      </c>
      <c r="J299" t="s">
        <v>87</v>
      </c>
      <c r="K299" t="s">
        <v>346</v>
      </c>
      <c r="L299" t="s">
        <v>66</v>
      </c>
      <c r="M299" t="s">
        <v>78</v>
      </c>
      <c r="N299" t="s">
        <v>31</v>
      </c>
      <c r="O299">
        <v>5</v>
      </c>
      <c r="P299" t="s">
        <v>44</v>
      </c>
      <c r="Q299">
        <v>13</v>
      </c>
      <c r="R299">
        <v>141147</v>
      </c>
      <c r="S299">
        <v>1224000</v>
      </c>
      <c r="T299" s="3">
        <v>7882853</v>
      </c>
    </row>
    <row r="300" spans="1:20" x14ac:dyDescent="0.3">
      <c r="A300">
        <v>1299</v>
      </c>
      <c r="B300" t="s">
        <v>114</v>
      </c>
      <c r="C300" t="s">
        <v>34</v>
      </c>
      <c r="D300">
        <v>60</v>
      </c>
      <c r="E300" t="s">
        <v>90</v>
      </c>
      <c r="F300" t="s">
        <v>36</v>
      </c>
      <c r="G300" t="s">
        <v>91</v>
      </c>
      <c r="H300" t="s">
        <v>25</v>
      </c>
      <c r="I300" t="s">
        <v>76</v>
      </c>
      <c r="J300" t="s">
        <v>27</v>
      </c>
      <c r="K300" t="s">
        <v>347</v>
      </c>
      <c r="L300" t="s">
        <v>29</v>
      </c>
      <c r="M300" t="s">
        <v>51</v>
      </c>
      <c r="N300" t="s">
        <v>52</v>
      </c>
      <c r="O300">
        <v>5</v>
      </c>
      <c r="P300" t="s">
        <v>53</v>
      </c>
      <c r="Q300">
        <v>12</v>
      </c>
      <c r="R300">
        <v>205242</v>
      </c>
      <c r="S300">
        <v>702000</v>
      </c>
      <c r="T300" s="3">
        <v>4396758</v>
      </c>
    </row>
    <row r="301" spans="1:20" x14ac:dyDescent="0.3">
      <c r="A301">
        <v>1300</v>
      </c>
      <c r="B301" t="s">
        <v>81</v>
      </c>
      <c r="C301" t="s">
        <v>21</v>
      </c>
      <c r="D301">
        <v>57</v>
      </c>
      <c r="E301" t="s">
        <v>46</v>
      </c>
      <c r="F301" t="s">
        <v>62</v>
      </c>
      <c r="G301" t="s">
        <v>105</v>
      </c>
      <c r="H301" t="s">
        <v>106</v>
      </c>
      <c r="I301" t="s">
        <v>39</v>
      </c>
      <c r="J301" t="s">
        <v>87</v>
      </c>
      <c r="K301" t="s">
        <v>348</v>
      </c>
      <c r="L301" t="s">
        <v>42</v>
      </c>
      <c r="M301" t="s">
        <v>43</v>
      </c>
      <c r="N301" t="s">
        <v>31</v>
      </c>
      <c r="O301">
        <v>4</v>
      </c>
      <c r="P301" t="s">
        <v>53</v>
      </c>
      <c r="Q301">
        <v>11</v>
      </c>
      <c r="R301">
        <v>115036</v>
      </c>
      <c r="S301">
        <v>5760000</v>
      </c>
      <c r="T301" s="3">
        <v>37644964</v>
      </c>
    </row>
    <row r="302" spans="1:20" x14ac:dyDescent="0.3">
      <c r="A302">
        <v>1301</v>
      </c>
      <c r="B302" t="s">
        <v>114</v>
      </c>
      <c r="C302" t="s">
        <v>21</v>
      </c>
      <c r="D302">
        <v>49</v>
      </c>
      <c r="E302" t="s">
        <v>112</v>
      </c>
      <c r="F302" t="s">
        <v>62</v>
      </c>
      <c r="G302" t="s">
        <v>24</v>
      </c>
      <c r="H302" t="s">
        <v>25</v>
      </c>
      <c r="I302" t="s">
        <v>39</v>
      </c>
      <c r="J302" t="s">
        <v>27</v>
      </c>
      <c r="K302" t="s">
        <v>349</v>
      </c>
      <c r="L302" t="s">
        <v>71</v>
      </c>
      <c r="M302" t="s">
        <v>43</v>
      </c>
      <c r="N302" t="s">
        <v>31</v>
      </c>
      <c r="O302">
        <v>3</v>
      </c>
      <c r="P302" t="s">
        <v>86</v>
      </c>
      <c r="Q302">
        <v>14</v>
      </c>
      <c r="R302">
        <v>166559</v>
      </c>
      <c r="S302">
        <v>936000</v>
      </c>
      <c r="T302" s="3">
        <v>5969441</v>
      </c>
    </row>
    <row r="303" spans="1:20" x14ac:dyDescent="0.3">
      <c r="A303">
        <v>1302</v>
      </c>
      <c r="B303" t="s">
        <v>72</v>
      </c>
      <c r="C303" t="s">
        <v>34</v>
      </c>
      <c r="D303">
        <v>59</v>
      </c>
      <c r="E303" t="s">
        <v>82</v>
      </c>
      <c r="F303" t="s">
        <v>36</v>
      </c>
      <c r="G303" t="s">
        <v>91</v>
      </c>
      <c r="H303" t="s">
        <v>25</v>
      </c>
      <c r="I303" t="s">
        <v>39</v>
      </c>
      <c r="J303" t="s">
        <v>49</v>
      </c>
      <c r="K303" t="s">
        <v>350</v>
      </c>
      <c r="L303" t="s">
        <v>66</v>
      </c>
      <c r="M303" t="s">
        <v>51</v>
      </c>
      <c r="N303" t="s">
        <v>31</v>
      </c>
      <c r="O303">
        <v>5</v>
      </c>
      <c r="P303" t="s">
        <v>53</v>
      </c>
      <c r="Q303">
        <v>11</v>
      </c>
      <c r="R303">
        <v>227723</v>
      </c>
      <c r="S303">
        <v>1098000</v>
      </c>
      <c r="T303" s="3">
        <v>6970277</v>
      </c>
    </row>
    <row r="304" spans="1:20" x14ac:dyDescent="0.3">
      <c r="A304">
        <v>1303</v>
      </c>
      <c r="B304" t="s">
        <v>33</v>
      </c>
      <c r="C304" t="s">
        <v>21</v>
      </c>
      <c r="D304">
        <v>38</v>
      </c>
      <c r="E304" t="s">
        <v>82</v>
      </c>
      <c r="F304" t="s">
        <v>23</v>
      </c>
      <c r="G304" t="s">
        <v>105</v>
      </c>
      <c r="H304" t="s">
        <v>106</v>
      </c>
      <c r="I304" t="s">
        <v>97</v>
      </c>
      <c r="J304" t="s">
        <v>40</v>
      </c>
      <c r="K304" t="s">
        <v>351</v>
      </c>
      <c r="L304" t="s">
        <v>29</v>
      </c>
      <c r="M304" t="s">
        <v>43</v>
      </c>
      <c r="N304" t="s">
        <v>52</v>
      </c>
      <c r="O304">
        <v>2</v>
      </c>
      <c r="P304" t="s">
        <v>86</v>
      </c>
      <c r="Q304">
        <v>7</v>
      </c>
      <c r="R304">
        <v>183977</v>
      </c>
      <c r="S304">
        <v>1098000</v>
      </c>
      <c r="T304" s="3">
        <v>7014023</v>
      </c>
    </row>
    <row r="305" spans="1:20" x14ac:dyDescent="0.3">
      <c r="A305">
        <v>1304</v>
      </c>
      <c r="B305" t="s">
        <v>79</v>
      </c>
      <c r="C305" t="s">
        <v>34</v>
      </c>
      <c r="D305">
        <v>29</v>
      </c>
      <c r="E305" t="s">
        <v>82</v>
      </c>
      <c r="F305" t="s">
        <v>36</v>
      </c>
      <c r="G305" t="s">
        <v>37</v>
      </c>
      <c r="H305" t="s">
        <v>38</v>
      </c>
      <c r="I305" t="s">
        <v>97</v>
      </c>
      <c r="J305" t="s">
        <v>87</v>
      </c>
      <c r="K305" t="s">
        <v>338</v>
      </c>
      <c r="L305" t="s">
        <v>66</v>
      </c>
      <c r="M305" t="s">
        <v>43</v>
      </c>
      <c r="N305" t="s">
        <v>52</v>
      </c>
      <c r="O305">
        <v>2</v>
      </c>
      <c r="P305" t="s">
        <v>32</v>
      </c>
      <c r="Q305">
        <v>22</v>
      </c>
      <c r="R305">
        <v>110317</v>
      </c>
      <c r="S305">
        <v>1098000</v>
      </c>
      <c r="T305" s="3">
        <v>7087683</v>
      </c>
    </row>
    <row r="306" spans="1:20" x14ac:dyDescent="0.3">
      <c r="A306">
        <v>1305</v>
      </c>
      <c r="B306" t="s">
        <v>60</v>
      </c>
      <c r="C306" t="s">
        <v>21</v>
      </c>
      <c r="D306">
        <v>41</v>
      </c>
      <c r="E306" t="s">
        <v>61</v>
      </c>
      <c r="F306" t="s">
        <v>36</v>
      </c>
      <c r="G306" t="s">
        <v>105</v>
      </c>
      <c r="H306" t="s">
        <v>106</v>
      </c>
      <c r="I306" t="s">
        <v>48</v>
      </c>
      <c r="J306" t="s">
        <v>49</v>
      </c>
      <c r="K306" t="s">
        <v>338</v>
      </c>
      <c r="L306" t="s">
        <v>42</v>
      </c>
      <c r="M306" t="s">
        <v>43</v>
      </c>
      <c r="N306" t="s">
        <v>52</v>
      </c>
      <c r="O306">
        <v>2</v>
      </c>
      <c r="P306" t="s">
        <v>32</v>
      </c>
      <c r="Q306">
        <v>9</v>
      </c>
      <c r="R306">
        <v>190470</v>
      </c>
      <c r="S306">
        <v>2250000</v>
      </c>
      <c r="T306" s="3">
        <v>14559530</v>
      </c>
    </row>
    <row r="307" spans="1:20" x14ac:dyDescent="0.3">
      <c r="A307">
        <v>1306</v>
      </c>
      <c r="B307" t="s">
        <v>95</v>
      </c>
      <c r="C307" t="s">
        <v>21</v>
      </c>
      <c r="D307">
        <v>54</v>
      </c>
      <c r="E307" t="s">
        <v>22</v>
      </c>
      <c r="F307" t="s">
        <v>23</v>
      </c>
      <c r="G307" t="s">
        <v>105</v>
      </c>
      <c r="H307" t="s">
        <v>106</v>
      </c>
      <c r="I307" t="s">
        <v>26</v>
      </c>
      <c r="J307" t="s">
        <v>87</v>
      </c>
      <c r="K307" t="s">
        <v>352</v>
      </c>
      <c r="L307" t="s">
        <v>29</v>
      </c>
      <c r="M307" t="s">
        <v>78</v>
      </c>
      <c r="N307" t="s">
        <v>31</v>
      </c>
      <c r="O307">
        <v>5</v>
      </c>
      <c r="P307" t="s">
        <v>53</v>
      </c>
      <c r="Q307">
        <v>20</v>
      </c>
      <c r="R307">
        <v>298120</v>
      </c>
      <c r="S307">
        <v>756000</v>
      </c>
      <c r="T307" s="3">
        <v>4657880</v>
      </c>
    </row>
    <row r="308" spans="1:20" x14ac:dyDescent="0.3">
      <c r="A308">
        <v>1307</v>
      </c>
      <c r="B308" t="s">
        <v>20</v>
      </c>
      <c r="C308" t="s">
        <v>21</v>
      </c>
      <c r="D308">
        <v>49</v>
      </c>
      <c r="E308" t="s">
        <v>118</v>
      </c>
      <c r="F308" t="s">
        <v>23</v>
      </c>
      <c r="G308" t="s">
        <v>56</v>
      </c>
      <c r="H308" t="s">
        <v>57</v>
      </c>
      <c r="I308" t="s">
        <v>26</v>
      </c>
      <c r="J308" t="s">
        <v>87</v>
      </c>
      <c r="K308" t="s">
        <v>333</v>
      </c>
      <c r="L308" t="s">
        <v>29</v>
      </c>
      <c r="M308" t="s">
        <v>78</v>
      </c>
      <c r="N308" t="s">
        <v>52</v>
      </c>
      <c r="O308">
        <v>3</v>
      </c>
      <c r="P308" t="s">
        <v>86</v>
      </c>
      <c r="Q308">
        <v>9</v>
      </c>
      <c r="R308">
        <v>189708</v>
      </c>
      <c r="S308">
        <v>1350000</v>
      </c>
      <c r="T308" s="3">
        <v>8660292</v>
      </c>
    </row>
    <row r="309" spans="1:20" x14ac:dyDescent="0.3">
      <c r="A309">
        <v>1308</v>
      </c>
      <c r="B309" t="s">
        <v>99</v>
      </c>
      <c r="C309" t="s">
        <v>34</v>
      </c>
      <c r="D309">
        <v>50</v>
      </c>
      <c r="E309" t="s">
        <v>46</v>
      </c>
      <c r="F309" t="s">
        <v>23</v>
      </c>
      <c r="G309" t="s">
        <v>56</v>
      </c>
      <c r="H309" t="s">
        <v>57</v>
      </c>
      <c r="I309" t="s">
        <v>26</v>
      </c>
      <c r="J309" t="s">
        <v>49</v>
      </c>
      <c r="K309" t="s">
        <v>353</v>
      </c>
      <c r="L309" t="s">
        <v>66</v>
      </c>
      <c r="M309" t="s">
        <v>94</v>
      </c>
      <c r="N309" t="s">
        <v>31</v>
      </c>
      <c r="O309">
        <v>4</v>
      </c>
      <c r="P309" t="s">
        <v>86</v>
      </c>
      <c r="Q309">
        <v>19</v>
      </c>
      <c r="R309">
        <v>125135</v>
      </c>
      <c r="S309">
        <v>5760000</v>
      </c>
      <c r="T309" s="3">
        <v>37634865</v>
      </c>
    </row>
    <row r="310" spans="1:20" x14ac:dyDescent="0.3">
      <c r="A310">
        <v>1309</v>
      </c>
      <c r="B310" t="s">
        <v>104</v>
      </c>
      <c r="C310" t="s">
        <v>34</v>
      </c>
      <c r="D310">
        <v>33</v>
      </c>
      <c r="E310" t="s">
        <v>118</v>
      </c>
      <c r="F310" t="s">
        <v>62</v>
      </c>
      <c r="G310" t="s">
        <v>74</v>
      </c>
      <c r="H310" t="s">
        <v>75</v>
      </c>
      <c r="I310" t="s">
        <v>26</v>
      </c>
      <c r="J310" t="s">
        <v>27</v>
      </c>
      <c r="K310" t="s">
        <v>354</v>
      </c>
      <c r="L310" t="s">
        <v>71</v>
      </c>
      <c r="M310" t="s">
        <v>43</v>
      </c>
      <c r="N310" t="s">
        <v>31</v>
      </c>
      <c r="O310">
        <v>3</v>
      </c>
      <c r="P310" t="s">
        <v>32</v>
      </c>
      <c r="Q310">
        <v>21</v>
      </c>
      <c r="R310">
        <v>176100</v>
      </c>
      <c r="S310">
        <v>1350000</v>
      </c>
      <c r="T310" s="3">
        <v>8673900</v>
      </c>
    </row>
    <row r="311" spans="1:20" x14ac:dyDescent="0.3">
      <c r="A311">
        <v>1310</v>
      </c>
      <c r="B311" t="s">
        <v>20</v>
      </c>
      <c r="C311" t="s">
        <v>34</v>
      </c>
      <c r="D311">
        <v>31</v>
      </c>
      <c r="E311" t="s">
        <v>118</v>
      </c>
      <c r="F311" t="s">
        <v>23</v>
      </c>
      <c r="G311" t="s">
        <v>63</v>
      </c>
      <c r="H311" t="s">
        <v>64</v>
      </c>
      <c r="I311" t="s">
        <v>39</v>
      </c>
      <c r="J311" t="s">
        <v>49</v>
      </c>
      <c r="K311" t="s">
        <v>206</v>
      </c>
      <c r="L311" t="s">
        <v>42</v>
      </c>
      <c r="M311" t="s">
        <v>51</v>
      </c>
      <c r="N311" t="s">
        <v>52</v>
      </c>
      <c r="O311">
        <v>2</v>
      </c>
      <c r="P311" t="s">
        <v>53</v>
      </c>
      <c r="Q311">
        <v>25</v>
      </c>
      <c r="R311">
        <v>57020</v>
      </c>
      <c r="S311">
        <v>1350000</v>
      </c>
      <c r="T311" s="3">
        <v>8792980</v>
      </c>
    </row>
    <row r="312" spans="1:20" x14ac:dyDescent="0.3">
      <c r="A312">
        <v>1311</v>
      </c>
      <c r="B312" t="s">
        <v>72</v>
      </c>
      <c r="C312" t="s">
        <v>34</v>
      </c>
      <c r="D312">
        <v>50</v>
      </c>
      <c r="E312" t="s">
        <v>90</v>
      </c>
      <c r="F312" t="s">
        <v>55</v>
      </c>
      <c r="G312" t="s">
        <v>69</v>
      </c>
      <c r="H312" t="s">
        <v>69</v>
      </c>
      <c r="I312" t="s">
        <v>26</v>
      </c>
      <c r="J312" t="s">
        <v>40</v>
      </c>
      <c r="K312" t="s">
        <v>355</v>
      </c>
      <c r="L312" t="s">
        <v>71</v>
      </c>
      <c r="M312" t="s">
        <v>78</v>
      </c>
      <c r="N312" t="s">
        <v>31</v>
      </c>
      <c r="O312">
        <v>3</v>
      </c>
      <c r="P312" t="s">
        <v>86</v>
      </c>
      <c r="Q312">
        <v>22</v>
      </c>
      <c r="R312">
        <v>235229</v>
      </c>
      <c r="S312">
        <v>702000</v>
      </c>
      <c r="T312" s="3">
        <v>4366771</v>
      </c>
    </row>
    <row r="313" spans="1:20" x14ac:dyDescent="0.3">
      <c r="A313">
        <v>1312</v>
      </c>
      <c r="B313" t="s">
        <v>33</v>
      </c>
      <c r="C313" t="s">
        <v>21</v>
      </c>
      <c r="D313">
        <v>59</v>
      </c>
      <c r="E313" t="s">
        <v>112</v>
      </c>
      <c r="F313" t="s">
        <v>23</v>
      </c>
      <c r="G313" t="s">
        <v>91</v>
      </c>
      <c r="H313" t="s">
        <v>25</v>
      </c>
      <c r="I313" t="s">
        <v>39</v>
      </c>
      <c r="J313" t="s">
        <v>40</v>
      </c>
      <c r="K313" t="s">
        <v>356</v>
      </c>
      <c r="L313" t="s">
        <v>42</v>
      </c>
      <c r="M313" t="s">
        <v>51</v>
      </c>
      <c r="N313" t="s">
        <v>31</v>
      </c>
      <c r="O313">
        <v>2</v>
      </c>
      <c r="P313" t="s">
        <v>53</v>
      </c>
      <c r="Q313">
        <v>5</v>
      </c>
      <c r="R313">
        <v>260846</v>
      </c>
      <c r="S313">
        <v>936000</v>
      </c>
      <c r="T313" s="3">
        <v>5875154</v>
      </c>
    </row>
    <row r="314" spans="1:20" x14ac:dyDescent="0.3">
      <c r="A314">
        <v>1313</v>
      </c>
      <c r="B314" t="s">
        <v>81</v>
      </c>
      <c r="C314" t="s">
        <v>34</v>
      </c>
      <c r="D314">
        <v>52</v>
      </c>
      <c r="E314" t="s">
        <v>82</v>
      </c>
      <c r="F314" t="s">
        <v>36</v>
      </c>
      <c r="G314" t="s">
        <v>47</v>
      </c>
      <c r="H314" t="s">
        <v>25</v>
      </c>
      <c r="I314" t="s">
        <v>97</v>
      </c>
      <c r="J314" t="s">
        <v>27</v>
      </c>
      <c r="K314" t="s">
        <v>357</v>
      </c>
      <c r="L314" t="s">
        <v>42</v>
      </c>
      <c r="M314" t="s">
        <v>51</v>
      </c>
      <c r="N314" t="s">
        <v>31</v>
      </c>
      <c r="O314">
        <v>3</v>
      </c>
      <c r="P314" t="s">
        <v>53</v>
      </c>
      <c r="Q314">
        <v>7</v>
      </c>
      <c r="R314">
        <v>179427</v>
      </c>
      <c r="S314">
        <v>1098000</v>
      </c>
      <c r="T314" s="3">
        <v>7018573</v>
      </c>
    </row>
    <row r="315" spans="1:20" x14ac:dyDescent="0.3">
      <c r="A315">
        <v>1314</v>
      </c>
      <c r="B315" t="s">
        <v>95</v>
      </c>
      <c r="C315" t="s">
        <v>21</v>
      </c>
      <c r="D315">
        <v>46</v>
      </c>
      <c r="E315" t="s">
        <v>73</v>
      </c>
      <c r="F315" t="s">
        <v>23</v>
      </c>
      <c r="G315" t="s">
        <v>63</v>
      </c>
      <c r="H315" t="s">
        <v>64</v>
      </c>
      <c r="I315" t="s">
        <v>39</v>
      </c>
      <c r="J315" t="s">
        <v>27</v>
      </c>
      <c r="K315" t="s">
        <v>358</v>
      </c>
      <c r="L315" t="s">
        <v>71</v>
      </c>
      <c r="M315" t="s">
        <v>51</v>
      </c>
      <c r="N315" t="s">
        <v>31</v>
      </c>
      <c r="O315">
        <v>3</v>
      </c>
      <c r="P315" t="s">
        <v>32</v>
      </c>
      <c r="Q315">
        <v>5</v>
      </c>
      <c r="R315">
        <v>79754</v>
      </c>
      <c r="S315">
        <v>1224000</v>
      </c>
      <c r="T315" s="3">
        <v>7944246</v>
      </c>
    </row>
    <row r="316" spans="1:20" x14ac:dyDescent="0.3">
      <c r="A316">
        <v>1315</v>
      </c>
      <c r="B316" t="s">
        <v>104</v>
      </c>
      <c r="C316" t="s">
        <v>21</v>
      </c>
      <c r="D316">
        <v>49</v>
      </c>
      <c r="E316" t="s">
        <v>22</v>
      </c>
      <c r="F316" t="s">
        <v>55</v>
      </c>
      <c r="G316" t="s">
        <v>115</v>
      </c>
      <c r="H316" t="s">
        <v>106</v>
      </c>
      <c r="I316" t="s">
        <v>48</v>
      </c>
      <c r="J316" t="s">
        <v>49</v>
      </c>
      <c r="K316" t="s">
        <v>359</v>
      </c>
      <c r="L316" t="s">
        <v>71</v>
      </c>
      <c r="M316" t="s">
        <v>94</v>
      </c>
      <c r="N316" t="s">
        <v>31</v>
      </c>
      <c r="O316">
        <v>4</v>
      </c>
      <c r="P316" t="s">
        <v>53</v>
      </c>
      <c r="Q316">
        <v>22</v>
      </c>
      <c r="R316">
        <v>155517</v>
      </c>
      <c r="S316">
        <v>756000</v>
      </c>
      <c r="T316" s="3">
        <v>4800483</v>
      </c>
    </row>
    <row r="317" spans="1:20" x14ac:dyDescent="0.3">
      <c r="A317">
        <v>1316</v>
      </c>
      <c r="B317" t="s">
        <v>45</v>
      </c>
      <c r="C317" t="s">
        <v>34</v>
      </c>
      <c r="D317">
        <v>38</v>
      </c>
      <c r="E317" t="s">
        <v>22</v>
      </c>
      <c r="F317" t="s">
        <v>55</v>
      </c>
      <c r="G317" t="s">
        <v>91</v>
      </c>
      <c r="H317" t="s">
        <v>25</v>
      </c>
      <c r="I317" t="s">
        <v>26</v>
      </c>
      <c r="J317" t="s">
        <v>27</v>
      </c>
      <c r="K317" t="s">
        <v>356</v>
      </c>
      <c r="L317" t="s">
        <v>29</v>
      </c>
      <c r="M317" t="s">
        <v>43</v>
      </c>
      <c r="N317" t="s">
        <v>31</v>
      </c>
      <c r="O317">
        <v>2</v>
      </c>
      <c r="P317" t="s">
        <v>44</v>
      </c>
      <c r="Q317">
        <v>7</v>
      </c>
      <c r="R317">
        <v>219721</v>
      </c>
      <c r="S317">
        <v>756000</v>
      </c>
      <c r="T317" s="3">
        <v>4736279</v>
      </c>
    </row>
    <row r="318" spans="1:20" x14ac:dyDescent="0.3">
      <c r="A318">
        <v>1317</v>
      </c>
      <c r="B318" t="s">
        <v>108</v>
      </c>
      <c r="C318" t="s">
        <v>34</v>
      </c>
      <c r="D318">
        <v>45</v>
      </c>
      <c r="E318" t="s">
        <v>46</v>
      </c>
      <c r="F318" t="s">
        <v>36</v>
      </c>
      <c r="G318" t="s">
        <v>91</v>
      </c>
      <c r="H318" t="s">
        <v>25</v>
      </c>
      <c r="I318" t="s">
        <v>97</v>
      </c>
      <c r="J318" t="s">
        <v>87</v>
      </c>
      <c r="K318" t="s">
        <v>360</v>
      </c>
      <c r="L318" t="s">
        <v>66</v>
      </c>
      <c r="M318" t="s">
        <v>43</v>
      </c>
      <c r="N318" t="s">
        <v>52</v>
      </c>
      <c r="O318">
        <v>2</v>
      </c>
      <c r="P318" t="s">
        <v>86</v>
      </c>
      <c r="Q318">
        <v>13</v>
      </c>
      <c r="R318">
        <v>164414</v>
      </c>
      <c r="S318">
        <v>5760000</v>
      </c>
      <c r="T318" s="3">
        <v>37595586</v>
      </c>
    </row>
    <row r="319" spans="1:20" x14ac:dyDescent="0.3">
      <c r="A319">
        <v>1318</v>
      </c>
      <c r="B319" t="s">
        <v>79</v>
      </c>
      <c r="C319" t="s">
        <v>21</v>
      </c>
      <c r="D319">
        <v>44</v>
      </c>
      <c r="E319" t="s">
        <v>46</v>
      </c>
      <c r="F319" t="s">
        <v>36</v>
      </c>
      <c r="G319" t="s">
        <v>47</v>
      </c>
      <c r="H319" t="s">
        <v>25</v>
      </c>
      <c r="I319" t="s">
        <v>39</v>
      </c>
      <c r="J319" t="s">
        <v>27</v>
      </c>
      <c r="K319" t="s">
        <v>233</v>
      </c>
      <c r="L319" t="s">
        <v>59</v>
      </c>
      <c r="M319" t="s">
        <v>78</v>
      </c>
      <c r="N319" t="s">
        <v>52</v>
      </c>
      <c r="O319">
        <v>2</v>
      </c>
      <c r="P319" t="s">
        <v>86</v>
      </c>
      <c r="Q319">
        <v>20</v>
      </c>
      <c r="R319">
        <v>156838</v>
      </c>
      <c r="S319">
        <v>5760000</v>
      </c>
      <c r="T319" s="3">
        <v>37603162</v>
      </c>
    </row>
    <row r="320" spans="1:20" x14ac:dyDescent="0.3">
      <c r="A320">
        <v>1319</v>
      </c>
      <c r="B320" t="s">
        <v>79</v>
      </c>
      <c r="C320" t="s">
        <v>21</v>
      </c>
      <c r="D320">
        <v>29</v>
      </c>
      <c r="E320" t="s">
        <v>22</v>
      </c>
      <c r="F320" t="s">
        <v>23</v>
      </c>
      <c r="G320" t="s">
        <v>63</v>
      </c>
      <c r="H320" t="s">
        <v>64</v>
      </c>
      <c r="I320" t="s">
        <v>76</v>
      </c>
      <c r="J320" t="s">
        <v>49</v>
      </c>
      <c r="K320" t="s">
        <v>361</v>
      </c>
      <c r="L320" t="s">
        <v>42</v>
      </c>
      <c r="M320" t="s">
        <v>43</v>
      </c>
      <c r="N320" t="s">
        <v>52</v>
      </c>
      <c r="O320">
        <v>5</v>
      </c>
      <c r="P320" t="s">
        <v>86</v>
      </c>
      <c r="Q320">
        <v>15</v>
      </c>
      <c r="R320">
        <v>129788</v>
      </c>
      <c r="S320">
        <v>756000</v>
      </c>
      <c r="T320" s="3">
        <v>4826212</v>
      </c>
    </row>
    <row r="321" spans="1:20" x14ac:dyDescent="0.3">
      <c r="A321">
        <v>1320</v>
      </c>
      <c r="B321" t="s">
        <v>104</v>
      </c>
      <c r="C321" t="s">
        <v>34</v>
      </c>
      <c r="D321">
        <v>34</v>
      </c>
      <c r="E321" t="s">
        <v>90</v>
      </c>
      <c r="F321" t="s">
        <v>62</v>
      </c>
      <c r="G321" t="s">
        <v>24</v>
      </c>
      <c r="H321" t="s">
        <v>25</v>
      </c>
      <c r="I321" t="s">
        <v>76</v>
      </c>
      <c r="J321" t="s">
        <v>40</v>
      </c>
      <c r="K321" t="s">
        <v>230</v>
      </c>
      <c r="L321" t="s">
        <v>42</v>
      </c>
      <c r="M321" t="s">
        <v>43</v>
      </c>
      <c r="N321" t="s">
        <v>52</v>
      </c>
      <c r="O321">
        <v>4</v>
      </c>
      <c r="P321" t="s">
        <v>86</v>
      </c>
      <c r="Q321">
        <v>21</v>
      </c>
      <c r="R321">
        <v>286839</v>
      </c>
      <c r="S321">
        <v>702000</v>
      </c>
      <c r="T321" s="3">
        <v>4315161</v>
      </c>
    </row>
    <row r="322" spans="1:20" x14ac:dyDescent="0.3">
      <c r="A322">
        <v>1321</v>
      </c>
      <c r="B322" t="s">
        <v>114</v>
      </c>
      <c r="C322" t="s">
        <v>34</v>
      </c>
      <c r="D322">
        <v>30</v>
      </c>
      <c r="E322" t="s">
        <v>118</v>
      </c>
      <c r="F322" t="s">
        <v>36</v>
      </c>
      <c r="G322" t="s">
        <v>105</v>
      </c>
      <c r="H322" t="s">
        <v>106</v>
      </c>
      <c r="I322" t="s">
        <v>26</v>
      </c>
      <c r="J322" t="s">
        <v>27</v>
      </c>
      <c r="K322" t="s">
        <v>362</v>
      </c>
      <c r="L322" t="s">
        <v>29</v>
      </c>
      <c r="M322" t="s">
        <v>78</v>
      </c>
      <c r="N322" t="s">
        <v>52</v>
      </c>
      <c r="O322">
        <v>4</v>
      </c>
      <c r="P322" t="s">
        <v>53</v>
      </c>
      <c r="Q322">
        <v>7</v>
      </c>
      <c r="R322">
        <v>211194</v>
      </c>
      <c r="S322">
        <v>1350000</v>
      </c>
      <c r="T322" s="3">
        <v>8638806</v>
      </c>
    </row>
    <row r="323" spans="1:20" x14ac:dyDescent="0.3">
      <c r="A323">
        <v>1322</v>
      </c>
      <c r="B323" t="s">
        <v>99</v>
      </c>
      <c r="C323" t="s">
        <v>34</v>
      </c>
      <c r="D323">
        <v>58</v>
      </c>
      <c r="E323" t="s">
        <v>22</v>
      </c>
      <c r="F323" t="s">
        <v>36</v>
      </c>
      <c r="G323" t="s">
        <v>56</v>
      </c>
      <c r="H323" t="s">
        <v>57</v>
      </c>
      <c r="I323" t="s">
        <v>39</v>
      </c>
      <c r="J323" t="s">
        <v>87</v>
      </c>
      <c r="K323" t="s">
        <v>363</v>
      </c>
      <c r="L323" t="s">
        <v>29</v>
      </c>
      <c r="M323" t="s">
        <v>78</v>
      </c>
      <c r="N323" t="s">
        <v>31</v>
      </c>
      <c r="O323">
        <v>3</v>
      </c>
      <c r="P323" t="s">
        <v>44</v>
      </c>
      <c r="Q323">
        <v>6</v>
      </c>
      <c r="R323">
        <v>103722</v>
      </c>
      <c r="S323">
        <v>756000</v>
      </c>
      <c r="T323" s="3">
        <v>4852278</v>
      </c>
    </row>
    <row r="324" spans="1:20" x14ac:dyDescent="0.3">
      <c r="A324">
        <v>1323</v>
      </c>
      <c r="B324" t="s">
        <v>95</v>
      </c>
      <c r="C324" t="s">
        <v>21</v>
      </c>
      <c r="D324">
        <v>43</v>
      </c>
      <c r="E324" t="s">
        <v>68</v>
      </c>
      <c r="F324" t="s">
        <v>23</v>
      </c>
      <c r="G324" t="s">
        <v>56</v>
      </c>
      <c r="H324" t="s">
        <v>57</v>
      </c>
      <c r="I324" t="s">
        <v>76</v>
      </c>
      <c r="J324" t="s">
        <v>40</v>
      </c>
      <c r="K324" t="s">
        <v>364</v>
      </c>
      <c r="L324" t="s">
        <v>66</v>
      </c>
      <c r="M324" t="s">
        <v>43</v>
      </c>
      <c r="N324" t="s">
        <v>31</v>
      </c>
      <c r="O324">
        <v>3</v>
      </c>
      <c r="P324" t="s">
        <v>44</v>
      </c>
      <c r="Q324">
        <v>10</v>
      </c>
      <c r="R324">
        <v>115620</v>
      </c>
      <c r="S324">
        <v>846000</v>
      </c>
      <c r="T324" s="3">
        <v>5430380</v>
      </c>
    </row>
    <row r="325" spans="1:20" x14ac:dyDescent="0.3">
      <c r="A325">
        <v>1324</v>
      </c>
      <c r="B325" t="s">
        <v>79</v>
      </c>
      <c r="C325" t="s">
        <v>21</v>
      </c>
      <c r="D325">
        <v>30</v>
      </c>
      <c r="E325" t="s">
        <v>118</v>
      </c>
      <c r="F325" t="s">
        <v>62</v>
      </c>
      <c r="G325" t="s">
        <v>47</v>
      </c>
      <c r="H325" t="s">
        <v>25</v>
      </c>
      <c r="I325" t="s">
        <v>26</v>
      </c>
      <c r="J325" t="s">
        <v>87</v>
      </c>
      <c r="K325" t="s">
        <v>365</v>
      </c>
      <c r="L325" t="s">
        <v>42</v>
      </c>
      <c r="M325" t="s">
        <v>51</v>
      </c>
      <c r="N325" t="s">
        <v>31</v>
      </c>
      <c r="O325">
        <v>3</v>
      </c>
      <c r="P325" t="s">
        <v>86</v>
      </c>
      <c r="Q325">
        <v>24</v>
      </c>
      <c r="R325">
        <v>158308</v>
      </c>
      <c r="S325">
        <v>1350000</v>
      </c>
      <c r="T325" s="3">
        <v>8691692</v>
      </c>
    </row>
    <row r="326" spans="1:20" x14ac:dyDescent="0.3">
      <c r="A326">
        <v>1325</v>
      </c>
      <c r="B326" t="s">
        <v>67</v>
      </c>
      <c r="C326" t="s">
        <v>21</v>
      </c>
      <c r="D326">
        <v>59</v>
      </c>
      <c r="E326" t="s">
        <v>118</v>
      </c>
      <c r="F326" t="s">
        <v>36</v>
      </c>
      <c r="G326" t="s">
        <v>47</v>
      </c>
      <c r="H326" t="s">
        <v>25</v>
      </c>
      <c r="I326" t="s">
        <v>76</v>
      </c>
      <c r="J326" t="s">
        <v>27</v>
      </c>
      <c r="K326" t="s">
        <v>366</v>
      </c>
      <c r="L326" t="s">
        <v>71</v>
      </c>
      <c r="M326" t="s">
        <v>30</v>
      </c>
      <c r="N326" t="s">
        <v>52</v>
      </c>
      <c r="O326">
        <v>3</v>
      </c>
      <c r="P326" t="s">
        <v>53</v>
      </c>
      <c r="Q326">
        <v>9</v>
      </c>
      <c r="R326">
        <v>82215</v>
      </c>
      <c r="S326">
        <v>1350000</v>
      </c>
      <c r="T326" s="3">
        <v>8767785</v>
      </c>
    </row>
    <row r="327" spans="1:20" x14ac:dyDescent="0.3">
      <c r="A327">
        <v>1326</v>
      </c>
      <c r="B327" t="s">
        <v>45</v>
      </c>
      <c r="C327" t="s">
        <v>34</v>
      </c>
      <c r="D327">
        <v>42</v>
      </c>
      <c r="E327" t="s">
        <v>46</v>
      </c>
      <c r="F327" t="s">
        <v>23</v>
      </c>
      <c r="G327" t="s">
        <v>24</v>
      </c>
      <c r="H327" t="s">
        <v>25</v>
      </c>
      <c r="I327" t="s">
        <v>26</v>
      </c>
      <c r="J327" t="s">
        <v>40</v>
      </c>
      <c r="K327" t="s">
        <v>367</v>
      </c>
      <c r="L327" t="s">
        <v>29</v>
      </c>
      <c r="M327" t="s">
        <v>30</v>
      </c>
      <c r="N327" t="s">
        <v>31</v>
      </c>
      <c r="O327">
        <v>4</v>
      </c>
      <c r="P327" t="s">
        <v>53</v>
      </c>
      <c r="Q327">
        <v>24</v>
      </c>
      <c r="R327">
        <v>114175</v>
      </c>
      <c r="S327">
        <v>5760000</v>
      </c>
      <c r="T327" s="3">
        <v>37645825</v>
      </c>
    </row>
    <row r="328" spans="1:20" x14ac:dyDescent="0.3">
      <c r="A328">
        <v>1327</v>
      </c>
      <c r="B328" t="s">
        <v>20</v>
      </c>
      <c r="C328" t="s">
        <v>34</v>
      </c>
      <c r="D328">
        <v>39</v>
      </c>
      <c r="E328" t="s">
        <v>118</v>
      </c>
      <c r="F328" t="s">
        <v>36</v>
      </c>
      <c r="G328" t="s">
        <v>105</v>
      </c>
      <c r="H328" t="s">
        <v>106</v>
      </c>
      <c r="I328" t="s">
        <v>97</v>
      </c>
      <c r="J328" t="s">
        <v>87</v>
      </c>
      <c r="K328" t="s">
        <v>283</v>
      </c>
      <c r="L328" t="s">
        <v>59</v>
      </c>
      <c r="M328" t="s">
        <v>43</v>
      </c>
      <c r="N328" t="s">
        <v>31</v>
      </c>
      <c r="O328">
        <v>4</v>
      </c>
      <c r="P328" t="s">
        <v>32</v>
      </c>
      <c r="Q328">
        <v>15</v>
      </c>
      <c r="R328">
        <v>291916</v>
      </c>
      <c r="S328">
        <v>1350000</v>
      </c>
      <c r="T328" s="3">
        <v>8558084</v>
      </c>
    </row>
    <row r="329" spans="1:20" x14ac:dyDescent="0.3">
      <c r="A329">
        <v>1328</v>
      </c>
      <c r="B329" t="s">
        <v>101</v>
      </c>
      <c r="C329" t="s">
        <v>21</v>
      </c>
      <c r="D329">
        <v>35</v>
      </c>
      <c r="E329" t="s">
        <v>112</v>
      </c>
      <c r="F329" t="s">
        <v>55</v>
      </c>
      <c r="G329" t="s">
        <v>56</v>
      </c>
      <c r="H329" t="s">
        <v>57</v>
      </c>
      <c r="I329" t="s">
        <v>97</v>
      </c>
      <c r="J329" t="s">
        <v>87</v>
      </c>
      <c r="K329" t="s">
        <v>368</v>
      </c>
      <c r="L329" t="s">
        <v>71</v>
      </c>
      <c r="M329" t="s">
        <v>30</v>
      </c>
      <c r="N329" t="s">
        <v>31</v>
      </c>
      <c r="O329">
        <v>2</v>
      </c>
      <c r="P329" t="s">
        <v>53</v>
      </c>
      <c r="Q329">
        <v>12</v>
      </c>
      <c r="R329">
        <v>242221</v>
      </c>
      <c r="S329">
        <v>936000</v>
      </c>
      <c r="T329" s="3">
        <v>5893779</v>
      </c>
    </row>
    <row r="330" spans="1:20" x14ac:dyDescent="0.3">
      <c r="A330">
        <v>1329</v>
      </c>
      <c r="B330" t="s">
        <v>108</v>
      </c>
      <c r="C330" t="s">
        <v>34</v>
      </c>
      <c r="D330">
        <v>58</v>
      </c>
      <c r="E330" t="s">
        <v>61</v>
      </c>
      <c r="F330" t="s">
        <v>36</v>
      </c>
      <c r="G330" t="s">
        <v>37</v>
      </c>
      <c r="H330" t="s">
        <v>38</v>
      </c>
      <c r="I330" t="s">
        <v>48</v>
      </c>
      <c r="J330" t="s">
        <v>87</v>
      </c>
      <c r="K330" t="s">
        <v>369</v>
      </c>
      <c r="L330" t="s">
        <v>66</v>
      </c>
      <c r="M330" t="s">
        <v>94</v>
      </c>
      <c r="N330" t="s">
        <v>52</v>
      </c>
      <c r="O330">
        <v>4</v>
      </c>
      <c r="P330" t="s">
        <v>53</v>
      </c>
      <c r="Q330">
        <v>6</v>
      </c>
      <c r="R330">
        <v>273131</v>
      </c>
      <c r="S330">
        <v>2250000</v>
      </c>
      <c r="T330" s="3">
        <v>14476869</v>
      </c>
    </row>
    <row r="331" spans="1:20" x14ac:dyDescent="0.3">
      <c r="A331">
        <v>1330</v>
      </c>
      <c r="B331" t="s">
        <v>79</v>
      </c>
      <c r="C331" t="s">
        <v>21</v>
      </c>
      <c r="D331">
        <v>37</v>
      </c>
      <c r="E331" t="s">
        <v>68</v>
      </c>
      <c r="F331" t="s">
        <v>23</v>
      </c>
      <c r="G331" t="s">
        <v>24</v>
      </c>
      <c r="H331" t="s">
        <v>25</v>
      </c>
      <c r="I331" t="s">
        <v>48</v>
      </c>
      <c r="J331" t="s">
        <v>49</v>
      </c>
      <c r="K331" t="s">
        <v>370</v>
      </c>
      <c r="L331" t="s">
        <v>29</v>
      </c>
      <c r="M331" t="s">
        <v>43</v>
      </c>
      <c r="N331" t="s">
        <v>31</v>
      </c>
      <c r="O331">
        <v>3</v>
      </c>
      <c r="P331" t="s">
        <v>44</v>
      </c>
      <c r="Q331">
        <v>10</v>
      </c>
      <c r="R331">
        <v>221711</v>
      </c>
      <c r="S331">
        <v>846000</v>
      </c>
      <c r="T331" s="3">
        <v>5324289</v>
      </c>
    </row>
    <row r="332" spans="1:20" x14ac:dyDescent="0.3">
      <c r="A332">
        <v>1331</v>
      </c>
      <c r="B332" t="s">
        <v>81</v>
      </c>
      <c r="C332" t="s">
        <v>21</v>
      </c>
      <c r="D332">
        <v>40</v>
      </c>
      <c r="E332" t="s">
        <v>22</v>
      </c>
      <c r="F332" t="s">
        <v>36</v>
      </c>
      <c r="G332" t="s">
        <v>74</v>
      </c>
      <c r="H332" t="s">
        <v>75</v>
      </c>
      <c r="I332" t="s">
        <v>39</v>
      </c>
      <c r="J332" t="s">
        <v>40</v>
      </c>
      <c r="K332" t="s">
        <v>371</v>
      </c>
      <c r="L332" t="s">
        <v>59</v>
      </c>
      <c r="M332" t="s">
        <v>94</v>
      </c>
      <c r="N332" t="s">
        <v>52</v>
      </c>
      <c r="O332">
        <v>4</v>
      </c>
      <c r="P332" t="s">
        <v>44</v>
      </c>
      <c r="Q332">
        <v>25</v>
      </c>
      <c r="R332">
        <v>265664</v>
      </c>
      <c r="S332">
        <v>756000</v>
      </c>
      <c r="T332" s="3">
        <v>4690336</v>
      </c>
    </row>
    <row r="333" spans="1:20" x14ac:dyDescent="0.3">
      <c r="A333">
        <v>1332</v>
      </c>
      <c r="B333" t="s">
        <v>99</v>
      </c>
      <c r="C333" t="s">
        <v>34</v>
      </c>
      <c r="D333">
        <v>47</v>
      </c>
      <c r="E333" t="s">
        <v>118</v>
      </c>
      <c r="F333" t="s">
        <v>62</v>
      </c>
      <c r="G333" t="s">
        <v>24</v>
      </c>
      <c r="H333" t="s">
        <v>25</v>
      </c>
      <c r="I333" t="s">
        <v>48</v>
      </c>
      <c r="J333" t="s">
        <v>87</v>
      </c>
      <c r="K333" t="s">
        <v>372</v>
      </c>
      <c r="L333" t="s">
        <v>66</v>
      </c>
      <c r="M333" t="s">
        <v>94</v>
      </c>
      <c r="N333" t="s">
        <v>52</v>
      </c>
      <c r="O333">
        <v>5</v>
      </c>
      <c r="P333" t="s">
        <v>32</v>
      </c>
      <c r="Q333">
        <v>22</v>
      </c>
      <c r="R333">
        <v>119735</v>
      </c>
      <c r="S333">
        <v>1350000</v>
      </c>
      <c r="T333" s="3">
        <v>8730265</v>
      </c>
    </row>
    <row r="334" spans="1:20" x14ac:dyDescent="0.3">
      <c r="A334">
        <v>1333</v>
      </c>
      <c r="B334" t="s">
        <v>67</v>
      </c>
      <c r="C334" t="s">
        <v>21</v>
      </c>
      <c r="D334">
        <v>51</v>
      </c>
      <c r="E334" t="s">
        <v>112</v>
      </c>
      <c r="F334" t="s">
        <v>23</v>
      </c>
      <c r="G334" t="s">
        <v>74</v>
      </c>
      <c r="H334" t="s">
        <v>75</v>
      </c>
      <c r="I334" t="s">
        <v>48</v>
      </c>
      <c r="J334" t="s">
        <v>49</v>
      </c>
      <c r="K334" t="s">
        <v>373</v>
      </c>
      <c r="L334" t="s">
        <v>59</v>
      </c>
      <c r="M334" t="s">
        <v>30</v>
      </c>
      <c r="N334" t="s">
        <v>52</v>
      </c>
      <c r="O334">
        <v>2</v>
      </c>
      <c r="P334" t="s">
        <v>32</v>
      </c>
      <c r="Q334">
        <v>6</v>
      </c>
      <c r="R334">
        <v>233029</v>
      </c>
      <c r="S334">
        <v>936000</v>
      </c>
      <c r="T334" s="3">
        <v>5902971</v>
      </c>
    </row>
    <row r="335" spans="1:20" x14ac:dyDescent="0.3">
      <c r="A335">
        <v>1334</v>
      </c>
      <c r="B335" t="s">
        <v>108</v>
      </c>
      <c r="C335" t="s">
        <v>21</v>
      </c>
      <c r="D335">
        <v>45</v>
      </c>
      <c r="E335" t="s">
        <v>68</v>
      </c>
      <c r="F335" t="s">
        <v>55</v>
      </c>
      <c r="G335" t="s">
        <v>91</v>
      </c>
      <c r="H335" t="s">
        <v>25</v>
      </c>
      <c r="I335" t="s">
        <v>26</v>
      </c>
      <c r="J335" t="s">
        <v>40</v>
      </c>
      <c r="K335" t="s">
        <v>153</v>
      </c>
      <c r="L335" t="s">
        <v>59</v>
      </c>
      <c r="M335" t="s">
        <v>51</v>
      </c>
      <c r="N335" t="s">
        <v>52</v>
      </c>
      <c r="O335">
        <v>2</v>
      </c>
      <c r="P335" t="s">
        <v>53</v>
      </c>
      <c r="Q335">
        <v>19</v>
      </c>
      <c r="R335">
        <v>80683</v>
      </c>
      <c r="S335">
        <v>846000</v>
      </c>
      <c r="T335" s="3">
        <v>5465317</v>
      </c>
    </row>
    <row r="336" spans="1:20" x14ac:dyDescent="0.3">
      <c r="A336">
        <v>1335</v>
      </c>
      <c r="B336" t="s">
        <v>45</v>
      </c>
      <c r="C336" t="s">
        <v>34</v>
      </c>
      <c r="D336">
        <v>28</v>
      </c>
      <c r="E336" t="s">
        <v>61</v>
      </c>
      <c r="F336" t="s">
        <v>23</v>
      </c>
      <c r="G336" t="s">
        <v>91</v>
      </c>
      <c r="H336" t="s">
        <v>25</v>
      </c>
      <c r="I336" t="s">
        <v>48</v>
      </c>
      <c r="J336" t="s">
        <v>87</v>
      </c>
      <c r="K336" t="s">
        <v>121</v>
      </c>
      <c r="L336" t="s">
        <v>42</v>
      </c>
      <c r="M336" t="s">
        <v>30</v>
      </c>
      <c r="N336" t="s">
        <v>52</v>
      </c>
      <c r="O336">
        <v>2</v>
      </c>
      <c r="P336" t="s">
        <v>86</v>
      </c>
      <c r="Q336">
        <v>11</v>
      </c>
      <c r="R336">
        <v>130838</v>
      </c>
      <c r="S336">
        <v>2250000</v>
      </c>
      <c r="T336" s="3">
        <v>14619162</v>
      </c>
    </row>
    <row r="337" spans="1:20" x14ac:dyDescent="0.3">
      <c r="A337">
        <v>1336</v>
      </c>
      <c r="B337" t="s">
        <v>81</v>
      </c>
      <c r="C337" t="s">
        <v>34</v>
      </c>
      <c r="D337">
        <v>60</v>
      </c>
      <c r="E337" t="s">
        <v>61</v>
      </c>
      <c r="F337" t="s">
        <v>23</v>
      </c>
      <c r="G337" t="s">
        <v>105</v>
      </c>
      <c r="H337" t="s">
        <v>106</v>
      </c>
      <c r="I337" t="s">
        <v>76</v>
      </c>
      <c r="J337" t="s">
        <v>40</v>
      </c>
      <c r="K337" t="s">
        <v>374</v>
      </c>
      <c r="L337" t="s">
        <v>42</v>
      </c>
      <c r="M337" t="s">
        <v>30</v>
      </c>
      <c r="N337" t="s">
        <v>52</v>
      </c>
      <c r="O337">
        <v>4</v>
      </c>
      <c r="P337" t="s">
        <v>86</v>
      </c>
      <c r="Q337">
        <v>6</v>
      </c>
      <c r="R337">
        <v>252153</v>
      </c>
      <c r="S337">
        <v>2250000</v>
      </c>
      <c r="T337" s="3">
        <v>14497847</v>
      </c>
    </row>
    <row r="338" spans="1:20" x14ac:dyDescent="0.3">
      <c r="A338">
        <v>1337</v>
      </c>
      <c r="B338" t="s">
        <v>108</v>
      </c>
      <c r="C338" t="s">
        <v>34</v>
      </c>
      <c r="D338">
        <v>40</v>
      </c>
      <c r="E338" t="s">
        <v>68</v>
      </c>
      <c r="F338" t="s">
        <v>36</v>
      </c>
      <c r="G338" t="s">
        <v>47</v>
      </c>
      <c r="H338" t="s">
        <v>25</v>
      </c>
      <c r="I338" t="s">
        <v>76</v>
      </c>
      <c r="J338" t="s">
        <v>40</v>
      </c>
      <c r="K338" t="s">
        <v>375</v>
      </c>
      <c r="L338" t="s">
        <v>59</v>
      </c>
      <c r="M338" t="s">
        <v>94</v>
      </c>
      <c r="N338" t="s">
        <v>52</v>
      </c>
      <c r="O338">
        <v>3</v>
      </c>
      <c r="P338" t="s">
        <v>44</v>
      </c>
      <c r="Q338">
        <v>11</v>
      </c>
      <c r="R338">
        <v>106002</v>
      </c>
      <c r="S338">
        <v>846000</v>
      </c>
      <c r="T338" s="3">
        <v>5439998</v>
      </c>
    </row>
    <row r="339" spans="1:20" x14ac:dyDescent="0.3">
      <c r="A339">
        <v>1338</v>
      </c>
      <c r="B339" t="s">
        <v>114</v>
      </c>
      <c r="C339" t="s">
        <v>21</v>
      </c>
      <c r="D339">
        <v>41</v>
      </c>
      <c r="E339" t="s">
        <v>22</v>
      </c>
      <c r="F339" t="s">
        <v>23</v>
      </c>
      <c r="G339" t="s">
        <v>74</v>
      </c>
      <c r="H339" t="s">
        <v>75</v>
      </c>
      <c r="I339" t="s">
        <v>76</v>
      </c>
      <c r="J339" t="s">
        <v>49</v>
      </c>
      <c r="K339" t="s">
        <v>186</v>
      </c>
      <c r="L339" t="s">
        <v>71</v>
      </c>
      <c r="M339" t="s">
        <v>43</v>
      </c>
      <c r="N339" t="s">
        <v>31</v>
      </c>
      <c r="O339">
        <v>2</v>
      </c>
      <c r="P339" t="s">
        <v>44</v>
      </c>
      <c r="Q339">
        <v>6</v>
      </c>
      <c r="R339">
        <v>209957</v>
      </c>
      <c r="S339">
        <v>756000</v>
      </c>
      <c r="T339" s="3">
        <v>4746043</v>
      </c>
    </row>
    <row r="340" spans="1:20" x14ac:dyDescent="0.3">
      <c r="A340">
        <v>1339</v>
      </c>
      <c r="B340" t="s">
        <v>101</v>
      </c>
      <c r="C340" t="s">
        <v>21</v>
      </c>
      <c r="D340">
        <v>56</v>
      </c>
      <c r="E340" t="s">
        <v>22</v>
      </c>
      <c r="F340" t="s">
        <v>62</v>
      </c>
      <c r="G340" t="s">
        <v>105</v>
      </c>
      <c r="H340" t="s">
        <v>106</v>
      </c>
      <c r="I340" t="s">
        <v>97</v>
      </c>
      <c r="J340" t="s">
        <v>49</v>
      </c>
      <c r="K340" t="s">
        <v>291</v>
      </c>
      <c r="L340" t="s">
        <v>59</v>
      </c>
      <c r="M340" t="s">
        <v>30</v>
      </c>
      <c r="N340" t="s">
        <v>52</v>
      </c>
      <c r="O340">
        <v>5</v>
      </c>
      <c r="P340" t="s">
        <v>32</v>
      </c>
      <c r="Q340">
        <v>19</v>
      </c>
      <c r="R340">
        <v>162767</v>
      </c>
      <c r="S340">
        <v>756000</v>
      </c>
      <c r="T340" s="3">
        <v>4793233</v>
      </c>
    </row>
    <row r="341" spans="1:20" x14ac:dyDescent="0.3">
      <c r="A341">
        <v>1340</v>
      </c>
      <c r="B341" t="s">
        <v>72</v>
      </c>
      <c r="C341" t="s">
        <v>21</v>
      </c>
      <c r="D341">
        <v>26</v>
      </c>
      <c r="E341" t="s">
        <v>118</v>
      </c>
      <c r="F341" t="s">
        <v>62</v>
      </c>
      <c r="G341" t="s">
        <v>63</v>
      </c>
      <c r="H341" t="s">
        <v>64</v>
      </c>
      <c r="I341" t="s">
        <v>39</v>
      </c>
      <c r="J341" t="s">
        <v>27</v>
      </c>
      <c r="K341" t="s">
        <v>376</v>
      </c>
      <c r="L341" t="s">
        <v>42</v>
      </c>
      <c r="M341" t="s">
        <v>51</v>
      </c>
      <c r="N341" t="s">
        <v>31</v>
      </c>
      <c r="O341">
        <v>2</v>
      </c>
      <c r="P341" t="s">
        <v>32</v>
      </c>
      <c r="Q341">
        <v>20</v>
      </c>
      <c r="R341">
        <v>195166</v>
      </c>
      <c r="S341">
        <v>1350000</v>
      </c>
      <c r="T341" s="3">
        <v>8654834</v>
      </c>
    </row>
    <row r="342" spans="1:20" x14ac:dyDescent="0.3">
      <c r="A342">
        <v>1341</v>
      </c>
      <c r="B342" t="s">
        <v>60</v>
      </c>
      <c r="C342" t="s">
        <v>34</v>
      </c>
      <c r="D342">
        <v>59</v>
      </c>
      <c r="E342" t="s">
        <v>112</v>
      </c>
      <c r="F342" t="s">
        <v>36</v>
      </c>
      <c r="G342" t="s">
        <v>37</v>
      </c>
      <c r="H342" t="s">
        <v>38</v>
      </c>
      <c r="I342" t="s">
        <v>39</v>
      </c>
      <c r="J342" t="s">
        <v>27</v>
      </c>
      <c r="K342" t="s">
        <v>377</v>
      </c>
      <c r="L342" t="s">
        <v>29</v>
      </c>
      <c r="M342" t="s">
        <v>30</v>
      </c>
      <c r="N342" t="s">
        <v>31</v>
      </c>
      <c r="O342">
        <v>5</v>
      </c>
      <c r="P342" t="s">
        <v>86</v>
      </c>
      <c r="Q342">
        <v>14</v>
      </c>
      <c r="R342">
        <v>264125</v>
      </c>
      <c r="S342">
        <v>936000</v>
      </c>
      <c r="T342" s="3">
        <v>5871875</v>
      </c>
    </row>
    <row r="343" spans="1:20" x14ac:dyDescent="0.3">
      <c r="A343">
        <v>1342</v>
      </c>
      <c r="B343" t="s">
        <v>104</v>
      </c>
      <c r="C343" t="s">
        <v>34</v>
      </c>
      <c r="D343">
        <v>46</v>
      </c>
      <c r="E343" t="s">
        <v>68</v>
      </c>
      <c r="F343" t="s">
        <v>36</v>
      </c>
      <c r="G343" t="s">
        <v>105</v>
      </c>
      <c r="H343" t="s">
        <v>106</v>
      </c>
      <c r="I343" t="s">
        <v>26</v>
      </c>
      <c r="J343" t="s">
        <v>87</v>
      </c>
      <c r="K343" t="s">
        <v>378</v>
      </c>
      <c r="L343" t="s">
        <v>66</v>
      </c>
      <c r="M343" t="s">
        <v>78</v>
      </c>
      <c r="N343" t="s">
        <v>52</v>
      </c>
      <c r="O343">
        <v>5</v>
      </c>
      <c r="P343" t="s">
        <v>44</v>
      </c>
      <c r="Q343">
        <v>23</v>
      </c>
      <c r="R343">
        <v>194216</v>
      </c>
      <c r="S343">
        <v>846000</v>
      </c>
      <c r="T343" s="3">
        <v>5351784</v>
      </c>
    </row>
    <row r="344" spans="1:20" x14ac:dyDescent="0.3">
      <c r="A344">
        <v>1343</v>
      </c>
      <c r="B344" t="s">
        <v>104</v>
      </c>
      <c r="C344" t="s">
        <v>34</v>
      </c>
      <c r="D344">
        <v>52</v>
      </c>
      <c r="E344" t="s">
        <v>90</v>
      </c>
      <c r="F344" t="s">
        <v>36</v>
      </c>
      <c r="G344" t="s">
        <v>105</v>
      </c>
      <c r="H344" t="s">
        <v>106</v>
      </c>
      <c r="I344" t="s">
        <v>76</v>
      </c>
      <c r="J344" t="s">
        <v>87</v>
      </c>
      <c r="K344" t="s">
        <v>379</v>
      </c>
      <c r="L344" t="s">
        <v>59</v>
      </c>
      <c r="M344" t="s">
        <v>78</v>
      </c>
      <c r="N344" t="s">
        <v>31</v>
      </c>
      <c r="O344">
        <v>2</v>
      </c>
      <c r="P344" t="s">
        <v>53</v>
      </c>
      <c r="Q344">
        <v>10</v>
      </c>
      <c r="R344">
        <v>259008</v>
      </c>
      <c r="S344">
        <v>702000</v>
      </c>
      <c r="T344" s="3">
        <v>4342992</v>
      </c>
    </row>
    <row r="345" spans="1:20" x14ac:dyDescent="0.3">
      <c r="A345">
        <v>1344</v>
      </c>
      <c r="B345" t="s">
        <v>79</v>
      </c>
      <c r="C345" t="s">
        <v>34</v>
      </c>
      <c r="D345">
        <v>45</v>
      </c>
      <c r="E345" t="s">
        <v>73</v>
      </c>
      <c r="F345" t="s">
        <v>62</v>
      </c>
      <c r="G345" t="s">
        <v>105</v>
      </c>
      <c r="H345" t="s">
        <v>106</v>
      </c>
      <c r="I345" t="s">
        <v>26</v>
      </c>
      <c r="J345" t="s">
        <v>87</v>
      </c>
      <c r="K345" t="s">
        <v>380</v>
      </c>
      <c r="L345" t="s">
        <v>59</v>
      </c>
      <c r="M345" t="s">
        <v>30</v>
      </c>
      <c r="N345" t="s">
        <v>31</v>
      </c>
      <c r="O345">
        <v>4</v>
      </c>
      <c r="P345" t="s">
        <v>53</v>
      </c>
      <c r="Q345">
        <v>17</v>
      </c>
      <c r="R345">
        <v>161650</v>
      </c>
      <c r="S345">
        <v>1224000</v>
      </c>
      <c r="T345" s="3">
        <v>7862350</v>
      </c>
    </row>
    <row r="346" spans="1:20" x14ac:dyDescent="0.3">
      <c r="A346">
        <v>1345</v>
      </c>
      <c r="B346" t="s">
        <v>33</v>
      </c>
      <c r="C346" t="s">
        <v>21</v>
      </c>
      <c r="D346">
        <v>30</v>
      </c>
      <c r="E346" t="s">
        <v>46</v>
      </c>
      <c r="F346" t="s">
        <v>55</v>
      </c>
      <c r="G346" t="s">
        <v>63</v>
      </c>
      <c r="H346" t="s">
        <v>64</v>
      </c>
      <c r="I346" t="s">
        <v>76</v>
      </c>
      <c r="J346" t="s">
        <v>87</v>
      </c>
      <c r="K346" t="s">
        <v>244</v>
      </c>
      <c r="L346" t="s">
        <v>29</v>
      </c>
      <c r="M346" t="s">
        <v>94</v>
      </c>
      <c r="N346" t="s">
        <v>52</v>
      </c>
      <c r="O346">
        <v>2</v>
      </c>
      <c r="P346" t="s">
        <v>86</v>
      </c>
      <c r="Q346">
        <v>23</v>
      </c>
      <c r="R346">
        <v>193469</v>
      </c>
      <c r="S346">
        <v>5760000</v>
      </c>
      <c r="T346" s="3">
        <v>37566531</v>
      </c>
    </row>
    <row r="347" spans="1:20" x14ac:dyDescent="0.3">
      <c r="A347">
        <v>1346</v>
      </c>
      <c r="B347" t="s">
        <v>114</v>
      </c>
      <c r="C347" t="s">
        <v>21</v>
      </c>
      <c r="D347">
        <v>35</v>
      </c>
      <c r="E347" t="s">
        <v>90</v>
      </c>
      <c r="F347" t="s">
        <v>23</v>
      </c>
      <c r="G347" t="s">
        <v>24</v>
      </c>
      <c r="H347" t="s">
        <v>25</v>
      </c>
      <c r="I347" t="s">
        <v>39</v>
      </c>
      <c r="J347" t="s">
        <v>49</v>
      </c>
      <c r="K347" t="s">
        <v>381</v>
      </c>
      <c r="L347" t="s">
        <v>71</v>
      </c>
      <c r="M347" t="s">
        <v>78</v>
      </c>
      <c r="N347" t="s">
        <v>52</v>
      </c>
      <c r="O347">
        <v>2</v>
      </c>
      <c r="P347" t="s">
        <v>44</v>
      </c>
      <c r="Q347">
        <v>9</v>
      </c>
      <c r="R347">
        <v>167764</v>
      </c>
      <c r="S347">
        <v>702000</v>
      </c>
      <c r="T347" s="3">
        <v>4434236</v>
      </c>
    </row>
    <row r="348" spans="1:20" x14ac:dyDescent="0.3">
      <c r="A348">
        <v>1347</v>
      </c>
      <c r="B348" t="s">
        <v>33</v>
      </c>
      <c r="C348" t="s">
        <v>34</v>
      </c>
      <c r="D348">
        <v>55</v>
      </c>
      <c r="E348" t="s">
        <v>118</v>
      </c>
      <c r="F348" t="s">
        <v>62</v>
      </c>
      <c r="G348" t="s">
        <v>24</v>
      </c>
      <c r="H348" t="s">
        <v>25</v>
      </c>
      <c r="I348" t="s">
        <v>48</v>
      </c>
      <c r="J348" t="s">
        <v>40</v>
      </c>
      <c r="K348" t="s">
        <v>377</v>
      </c>
      <c r="L348" t="s">
        <v>59</v>
      </c>
      <c r="M348" t="s">
        <v>51</v>
      </c>
      <c r="N348" t="s">
        <v>52</v>
      </c>
      <c r="O348">
        <v>5</v>
      </c>
      <c r="P348" t="s">
        <v>53</v>
      </c>
      <c r="Q348">
        <v>12</v>
      </c>
      <c r="R348">
        <v>275788</v>
      </c>
      <c r="S348">
        <v>1350000</v>
      </c>
      <c r="T348" s="3">
        <v>8574212</v>
      </c>
    </row>
    <row r="349" spans="1:20" x14ac:dyDescent="0.3">
      <c r="A349">
        <v>1348</v>
      </c>
      <c r="B349" t="s">
        <v>54</v>
      </c>
      <c r="C349" t="s">
        <v>21</v>
      </c>
      <c r="D349">
        <v>33</v>
      </c>
      <c r="E349" t="s">
        <v>82</v>
      </c>
      <c r="F349" t="s">
        <v>62</v>
      </c>
      <c r="G349" t="s">
        <v>24</v>
      </c>
      <c r="H349" t="s">
        <v>25</v>
      </c>
      <c r="I349" t="s">
        <v>97</v>
      </c>
      <c r="J349" t="s">
        <v>40</v>
      </c>
      <c r="K349" t="s">
        <v>382</v>
      </c>
      <c r="L349" t="s">
        <v>29</v>
      </c>
      <c r="M349" t="s">
        <v>94</v>
      </c>
      <c r="N349" t="s">
        <v>52</v>
      </c>
      <c r="O349">
        <v>3</v>
      </c>
      <c r="P349" t="s">
        <v>53</v>
      </c>
      <c r="Q349">
        <v>22</v>
      </c>
      <c r="R349">
        <v>180598</v>
      </c>
      <c r="S349">
        <v>1098000</v>
      </c>
      <c r="T349" s="3">
        <v>7017402</v>
      </c>
    </row>
    <row r="350" spans="1:20" x14ac:dyDescent="0.3">
      <c r="A350">
        <v>1349</v>
      </c>
      <c r="B350" t="s">
        <v>104</v>
      </c>
      <c r="C350" t="s">
        <v>34</v>
      </c>
      <c r="D350">
        <v>30</v>
      </c>
      <c r="E350" t="s">
        <v>22</v>
      </c>
      <c r="F350" t="s">
        <v>36</v>
      </c>
      <c r="G350" t="s">
        <v>63</v>
      </c>
      <c r="H350" t="s">
        <v>64</v>
      </c>
      <c r="I350" t="s">
        <v>39</v>
      </c>
      <c r="J350" t="s">
        <v>27</v>
      </c>
      <c r="K350" t="s">
        <v>246</v>
      </c>
      <c r="L350" t="s">
        <v>29</v>
      </c>
      <c r="M350" t="s">
        <v>78</v>
      </c>
      <c r="N350" t="s">
        <v>52</v>
      </c>
      <c r="O350">
        <v>3</v>
      </c>
      <c r="P350" t="s">
        <v>86</v>
      </c>
      <c r="Q350">
        <v>8</v>
      </c>
      <c r="R350">
        <v>86410</v>
      </c>
      <c r="S350">
        <v>756000</v>
      </c>
      <c r="T350" s="3">
        <v>4869590</v>
      </c>
    </row>
    <row r="351" spans="1:20" x14ac:dyDescent="0.3">
      <c r="A351">
        <v>1350</v>
      </c>
      <c r="B351" t="s">
        <v>60</v>
      </c>
      <c r="C351" t="s">
        <v>34</v>
      </c>
      <c r="D351">
        <v>28</v>
      </c>
      <c r="E351" t="s">
        <v>22</v>
      </c>
      <c r="F351" t="s">
        <v>23</v>
      </c>
      <c r="G351" t="s">
        <v>37</v>
      </c>
      <c r="H351" t="s">
        <v>38</v>
      </c>
      <c r="I351" t="s">
        <v>48</v>
      </c>
      <c r="J351" t="s">
        <v>49</v>
      </c>
      <c r="K351" t="s">
        <v>211</v>
      </c>
      <c r="L351" t="s">
        <v>71</v>
      </c>
      <c r="M351" t="s">
        <v>51</v>
      </c>
      <c r="N351" t="s">
        <v>31</v>
      </c>
      <c r="O351">
        <v>2</v>
      </c>
      <c r="P351" t="s">
        <v>86</v>
      </c>
      <c r="Q351">
        <v>24</v>
      </c>
      <c r="R351">
        <v>127688</v>
      </c>
      <c r="S351">
        <v>756000</v>
      </c>
      <c r="T351" s="3">
        <v>4828312</v>
      </c>
    </row>
    <row r="352" spans="1:20" x14ac:dyDescent="0.3">
      <c r="A352">
        <v>1351</v>
      </c>
      <c r="B352" t="s">
        <v>81</v>
      </c>
      <c r="C352" t="s">
        <v>34</v>
      </c>
      <c r="D352">
        <v>38</v>
      </c>
      <c r="E352" t="s">
        <v>61</v>
      </c>
      <c r="F352" t="s">
        <v>55</v>
      </c>
      <c r="G352" t="s">
        <v>105</v>
      </c>
      <c r="H352" t="s">
        <v>106</v>
      </c>
      <c r="I352" t="s">
        <v>48</v>
      </c>
      <c r="J352" t="s">
        <v>27</v>
      </c>
      <c r="K352" t="s">
        <v>370</v>
      </c>
      <c r="L352" t="s">
        <v>66</v>
      </c>
      <c r="M352" t="s">
        <v>30</v>
      </c>
      <c r="N352" t="s">
        <v>31</v>
      </c>
      <c r="O352">
        <v>3</v>
      </c>
      <c r="P352" t="s">
        <v>53</v>
      </c>
      <c r="Q352">
        <v>25</v>
      </c>
      <c r="R352">
        <v>291687</v>
      </c>
      <c r="S352">
        <v>2250000</v>
      </c>
      <c r="T352" s="3">
        <v>14458313</v>
      </c>
    </row>
    <row r="353" spans="1:20" x14ac:dyDescent="0.3">
      <c r="A353">
        <v>1352</v>
      </c>
      <c r="B353" t="s">
        <v>81</v>
      </c>
      <c r="C353" t="s">
        <v>21</v>
      </c>
      <c r="D353">
        <v>44</v>
      </c>
      <c r="E353" t="s">
        <v>118</v>
      </c>
      <c r="F353" t="s">
        <v>55</v>
      </c>
      <c r="G353" t="s">
        <v>63</v>
      </c>
      <c r="H353" t="s">
        <v>64</v>
      </c>
      <c r="I353" t="s">
        <v>76</v>
      </c>
      <c r="J353" t="s">
        <v>40</v>
      </c>
      <c r="K353" t="s">
        <v>383</v>
      </c>
      <c r="L353" t="s">
        <v>29</v>
      </c>
      <c r="M353" t="s">
        <v>43</v>
      </c>
      <c r="N353" t="s">
        <v>52</v>
      </c>
      <c r="O353">
        <v>4</v>
      </c>
      <c r="P353" t="s">
        <v>32</v>
      </c>
      <c r="Q353">
        <v>8</v>
      </c>
      <c r="R353">
        <v>281741</v>
      </c>
      <c r="S353">
        <v>1350000</v>
      </c>
      <c r="T353" s="3">
        <v>8568259</v>
      </c>
    </row>
    <row r="354" spans="1:20" x14ac:dyDescent="0.3">
      <c r="A354">
        <v>1353</v>
      </c>
      <c r="B354" t="s">
        <v>60</v>
      </c>
      <c r="C354" t="s">
        <v>21</v>
      </c>
      <c r="D354">
        <v>56</v>
      </c>
      <c r="E354" t="s">
        <v>82</v>
      </c>
      <c r="F354" t="s">
        <v>55</v>
      </c>
      <c r="G354" t="s">
        <v>56</v>
      </c>
      <c r="H354" t="s">
        <v>57</v>
      </c>
      <c r="I354" t="s">
        <v>26</v>
      </c>
      <c r="J354" t="s">
        <v>87</v>
      </c>
      <c r="K354" t="s">
        <v>384</v>
      </c>
      <c r="L354" t="s">
        <v>29</v>
      </c>
      <c r="M354" t="s">
        <v>94</v>
      </c>
      <c r="N354" t="s">
        <v>52</v>
      </c>
      <c r="O354">
        <v>5</v>
      </c>
      <c r="P354" t="s">
        <v>53</v>
      </c>
      <c r="Q354">
        <v>7</v>
      </c>
      <c r="R354">
        <v>143241</v>
      </c>
      <c r="S354">
        <v>1098000</v>
      </c>
      <c r="T354" s="3">
        <v>7054759</v>
      </c>
    </row>
    <row r="355" spans="1:20" x14ac:dyDescent="0.3">
      <c r="A355">
        <v>1354</v>
      </c>
      <c r="B355" t="s">
        <v>60</v>
      </c>
      <c r="C355" t="s">
        <v>21</v>
      </c>
      <c r="D355">
        <v>58</v>
      </c>
      <c r="E355" t="s">
        <v>35</v>
      </c>
      <c r="F355" t="s">
        <v>62</v>
      </c>
      <c r="G355" t="s">
        <v>74</v>
      </c>
      <c r="H355" t="s">
        <v>75</v>
      </c>
      <c r="I355" t="s">
        <v>39</v>
      </c>
      <c r="J355" t="s">
        <v>27</v>
      </c>
      <c r="K355" t="s">
        <v>206</v>
      </c>
      <c r="L355" t="s">
        <v>66</v>
      </c>
      <c r="M355" t="s">
        <v>30</v>
      </c>
      <c r="N355" t="s">
        <v>31</v>
      </c>
      <c r="O355">
        <v>2</v>
      </c>
      <c r="P355" t="s">
        <v>32</v>
      </c>
      <c r="Q355">
        <v>24</v>
      </c>
      <c r="R355">
        <v>128757</v>
      </c>
      <c r="S355">
        <v>1764000</v>
      </c>
      <c r="T355" s="3">
        <v>11435243</v>
      </c>
    </row>
    <row r="356" spans="1:20" x14ac:dyDescent="0.3">
      <c r="A356">
        <v>1355</v>
      </c>
      <c r="B356" t="s">
        <v>108</v>
      </c>
      <c r="C356" t="s">
        <v>34</v>
      </c>
      <c r="D356">
        <v>49</v>
      </c>
      <c r="E356" t="s">
        <v>118</v>
      </c>
      <c r="F356" t="s">
        <v>62</v>
      </c>
      <c r="G356" t="s">
        <v>69</v>
      </c>
      <c r="H356" t="s">
        <v>69</v>
      </c>
      <c r="I356" t="s">
        <v>97</v>
      </c>
      <c r="J356" t="s">
        <v>49</v>
      </c>
      <c r="K356" t="s">
        <v>351</v>
      </c>
      <c r="L356" t="s">
        <v>66</v>
      </c>
      <c r="M356" t="s">
        <v>94</v>
      </c>
      <c r="N356" t="s">
        <v>31</v>
      </c>
      <c r="O356">
        <v>3</v>
      </c>
      <c r="P356" t="s">
        <v>32</v>
      </c>
      <c r="Q356">
        <v>6</v>
      </c>
      <c r="R356">
        <v>293753</v>
      </c>
      <c r="S356">
        <v>1350000</v>
      </c>
      <c r="T356" s="3">
        <v>8556247</v>
      </c>
    </row>
    <row r="357" spans="1:20" x14ac:dyDescent="0.3">
      <c r="A357">
        <v>1356</v>
      </c>
      <c r="B357" t="s">
        <v>20</v>
      </c>
      <c r="C357" t="s">
        <v>21</v>
      </c>
      <c r="D357">
        <v>50</v>
      </c>
      <c r="E357" t="s">
        <v>82</v>
      </c>
      <c r="F357" t="s">
        <v>55</v>
      </c>
      <c r="G357" t="s">
        <v>74</v>
      </c>
      <c r="H357" t="s">
        <v>75</v>
      </c>
      <c r="I357" t="s">
        <v>26</v>
      </c>
      <c r="J357" t="s">
        <v>87</v>
      </c>
      <c r="K357" t="s">
        <v>385</v>
      </c>
      <c r="L357" t="s">
        <v>71</v>
      </c>
      <c r="M357" t="s">
        <v>78</v>
      </c>
      <c r="N357" t="s">
        <v>52</v>
      </c>
      <c r="O357">
        <v>2</v>
      </c>
      <c r="P357" t="s">
        <v>53</v>
      </c>
      <c r="Q357">
        <v>15</v>
      </c>
      <c r="R357">
        <v>93359</v>
      </c>
      <c r="S357">
        <v>1098000</v>
      </c>
      <c r="T357" s="3">
        <v>7104641</v>
      </c>
    </row>
    <row r="358" spans="1:20" x14ac:dyDescent="0.3">
      <c r="A358">
        <v>1357</v>
      </c>
      <c r="B358" t="s">
        <v>108</v>
      </c>
      <c r="C358" t="s">
        <v>21</v>
      </c>
      <c r="D358">
        <v>31</v>
      </c>
      <c r="E358" t="s">
        <v>35</v>
      </c>
      <c r="F358" t="s">
        <v>55</v>
      </c>
      <c r="G358" t="s">
        <v>56</v>
      </c>
      <c r="H358" t="s">
        <v>57</v>
      </c>
      <c r="I358" t="s">
        <v>97</v>
      </c>
      <c r="J358" t="s">
        <v>87</v>
      </c>
      <c r="K358" t="s">
        <v>386</v>
      </c>
      <c r="L358" t="s">
        <v>59</v>
      </c>
      <c r="M358" t="s">
        <v>43</v>
      </c>
      <c r="N358" t="s">
        <v>31</v>
      </c>
      <c r="O358">
        <v>2</v>
      </c>
      <c r="P358" t="s">
        <v>53</v>
      </c>
      <c r="Q358">
        <v>22</v>
      </c>
      <c r="R358">
        <v>160463</v>
      </c>
      <c r="S358">
        <v>1764000</v>
      </c>
      <c r="T358" s="3">
        <v>11403537</v>
      </c>
    </row>
    <row r="359" spans="1:20" x14ac:dyDescent="0.3">
      <c r="A359">
        <v>1358</v>
      </c>
      <c r="B359" t="s">
        <v>79</v>
      </c>
      <c r="C359" t="s">
        <v>21</v>
      </c>
      <c r="D359">
        <v>39</v>
      </c>
      <c r="E359" t="s">
        <v>82</v>
      </c>
      <c r="F359" t="s">
        <v>23</v>
      </c>
      <c r="G359" t="s">
        <v>37</v>
      </c>
      <c r="H359" t="s">
        <v>38</v>
      </c>
      <c r="I359" t="s">
        <v>48</v>
      </c>
      <c r="J359" t="s">
        <v>49</v>
      </c>
      <c r="K359" t="s">
        <v>387</v>
      </c>
      <c r="L359" t="s">
        <v>29</v>
      </c>
      <c r="M359" t="s">
        <v>94</v>
      </c>
      <c r="N359" t="s">
        <v>52</v>
      </c>
      <c r="O359">
        <v>2</v>
      </c>
      <c r="P359" t="s">
        <v>32</v>
      </c>
      <c r="Q359">
        <v>15</v>
      </c>
      <c r="R359">
        <v>101794</v>
      </c>
      <c r="S359">
        <v>1098000</v>
      </c>
      <c r="T359" s="3">
        <v>7096206</v>
      </c>
    </row>
    <row r="360" spans="1:20" x14ac:dyDescent="0.3">
      <c r="A360">
        <v>1359</v>
      </c>
      <c r="B360" t="s">
        <v>104</v>
      </c>
      <c r="C360" t="s">
        <v>34</v>
      </c>
      <c r="D360">
        <v>39</v>
      </c>
      <c r="E360" t="s">
        <v>68</v>
      </c>
      <c r="F360" t="s">
        <v>23</v>
      </c>
      <c r="G360" t="s">
        <v>56</v>
      </c>
      <c r="H360" t="s">
        <v>57</v>
      </c>
      <c r="I360" t="s">
        <v>39</v>
      </c>
      <c r="J360" t="s">
        <v>40</v>
      </c>
      <c r="K360" t="s">
        <v>388</v>
      </c>
      <c r="L360" t="s">
        <v>42</v>
      </c>
      <c r="M360" t="s">
        <v>78</v>
      </c>
      <c r="N360" t="s">
        <v>31</v>
      </c>
      <c r="O360">
        <v>3</v>
      </c>
      <c r="P360" t="s">
        <v>32</v>
      </c>
      <c r="Q360">
        <v>9</v>
      </c>
      <c r="R360">
        <v>128268</v>
      </c>
      <c r="S360">
        <v>846000</v>
      </c>
      <c r="T360" s="3">
        <v>5417732</v>
      </c>
    </row>
    <row r="361" spans="1:20" x14ac:dyDescent="0.3">
      <c r="A361">
        <v>1360</v>
      </c>
      <c r="B361" t="s">
        <v>45</v>
      </c>
      <c r="C361" t="s">
        <v>21</v>
      </c>
      <c r="D361">
        <v>44</v>
      </c>
      <c r="E361" t="s">
        <v>22</v>
      </c>
      <c r="F361" t="s">
        <v>36</v>
      </c>
      <c r="G361" t="s">
        <v>56</v>
      </c>
      <c r="H361" t="s">
        <v>57</v>
      </c>
      <c r="I361" t="s">
        <v>48</v>
      </c>
      <c r="J361" t="s">
        <v>87</v>
      </c>
      <c r="K361" t="s">
        <v>389</v>
      </c>
      <c r="L361" t="s">
        <v>66</v>
      </c>
      <c r="M361" t="s">
        <v>51</v>
      </c>
      <c r="N361" t="s">
        <v>31</v>
      </c>
      <c r="O361">
        <v>3</v>
      </c>
      <c r="P361" t="s">
        <v>53</v>
      </c>
      <c r="Q361">
        <v>7</v>
      </c>
      <c r="R361">
        <v>159236</v>
      </c>
      <c r="S361">
        <v>756000</v>
      </c>
      <c r="T361" s="3">
        <v>4796764</v>
      </c>
    </row>
    <row r="362" spans="1:20" x14ac:dyDescent="0.3">
      <c r="A362">
        <v>1361</v>
      </c>
      <c r="B362" t="s">
        <v>72</v>
      </c>
      <c r="C362" t="s">
        <v>21</v>
      </c>
      <c r="D362">
        <v>57</v>
      </c>
      <c r="E362" t="s">
        <v>112</v>
      </c>
      <c r="F362" t="s">
        <v>23</v>
      </c>
      <c r="G362" t="s">
        <v>47</v>
      </c>
      <c r="H362" t="s">
        <v>25</v>
      </c>
      <c r="I362" t="s">
        <v>39</v>
      </c>
      <c r="J362" t="s">
        <v>27</v>
      </c>
      <c r="K362" t="s">
        <v>271</v>
      </c>
      <c r="L362" t="s">
        <v>42</v>
      </c>
      <c r="M362" t="s">
        <v>43</v>
      </c>
      <c r="N362" t="s">
        <v>52</v>
      </c>
      <c r="O362">
        <v>3</v>
      </c>
      <c r="P362" t="s">
        <v>86</v>
      </c>
      <c r="Q362">
        <v>19</v>
      </c>
      <c r="R362">
        <v>277847</v>
      </c>
      <c r="S362">
        <v>936000</v>
      </c>
      <c r="T362" s="3">
        <v>5858153</v>
      </c>
    </row>
    <row r="363" spans="1:20" x14ac:dyDescent="0.3">
      <c r="A363">
        <v>1362</v>
      </c>
      <c r="B363" t="s">
        <v>45</v>
      </c>
      <c r="C363" t="s">
        <v>34</v>
      </c>
      <c r="D363">
        <v>28</v>
      </c>
      <c r="E363" t="s">
        <v>82</v>
      </c>
      <c r="F363" t="s">
        <v>36</v>
      </c>
      <c r="G363" t="s">
        <v>105</v>
      </c>
      <c r="H363" t="s">
        <v>106</v>
      </c>
      <c r="I363" t="s">
        <v>48</v>
      </c>
      <c r="J363" t="s">
        <v>40</v>
      </c>
      <c r="K363" t="s">
        <v>320</v>
      </c>
      <c r="L363" t="s">
        <v>71</v>
      </c>
      <c r="M363" t="s">
        <v>78</v>
      </c>
      <c r="N363" t="s">
        <v>52</v>
      </c>
      <c r="O363">
        <v>3</v>
      </c>
      <c r="P363" t="s">
        <v>86</v>
      </c>
      <c r="Q363">
        <v>17</v>
      </c>
      <c r="R363">
        <v>195251</v>
      </c>
      <c r="S363">
        <v>1098000</v>
      </c>
      <c r="T363" s="3">
        <v>7002749</v>
      </c>
    </row>
    <row r="364" spans="1:20" x14ac:dyDescent="0.3">
      <c r="A364">
        <v>1363</v>
      </c>
      <c r="B364" t="s">
        <v>60</v>
      </c>
      <c r="C364" t="s">
        <v>21</v>
      </c>
      <c r="D364">
        <v>35</v>
      </c>
      <c r="E364" t="s">
        <v>22</v>
      </c>
      <c r="F364" t="s">
        <v>62</v>
      </c>
      <c r="G364" t="s">
        <v>37</v>
      </c>
      <c r="H364" t="s">
        <v>38</v>
      </c>
      <c r="I364" t="s">
        <v>48</v>
      </c>
      <c r="J364" t="s">
        <v>27</v>
      </c>
      <c r="K364" t="s">
        <v>390</v>
      </c>
      <c r="L364" t="s">
        <v>59</v>
      </c>
      <c r="M364" t="s">
        <v>78</v>
      </c>
      <c r="N364" t="s">
        <v>52</v>
      </c>
      <c r="O364">
        <v>3</v>
      </c>
      <c r="P364" t="s">
        <v>44</v>
      </c>
      <c r="Q364">
        <v>17</v>
      </c>
      <c r="R364">
        <v>293685</v>
      </c>
      <c r="S364">
        <v>756000</v>
      </c>
      <c r="T364" s="3">
        <v>4662315</v>
      </c>
    </row>
    <row r="365" spans="1:20" x14ac:dyDescent="0.3">
      <c r="A365">
        <v>1364</v>
      </c>
      <c r="B365" t="s">
        <v>20</v>
      </c>
      <c r="C365" t="s">
        <v>34</v>
      </c>
      <c r="D365">
        <v>58</v>
      </c>
      <c r="E365" t="s">
        <v>22</v>
      </c>
      <c r="F365" t="s">
        <v>36</v>
      </c>
      <c r="G365" t="s">
        <v>105</v>
      </c>
      <c r="H365" t="s">
        <v>106</v>
      </c>
      <c r="I365" t="s">
        <v>39</v>
      </c>
      <c r="J365" t="s">
        <v>27</v>
      </c>
      <c r="K365" t="s">
        <v>391</v>
      </c>
      <c r="L365" t="s">
        <v>71</v>
      </c>
      <c r="M365" t="s">
        <v>78</v>
      </c>
      <c r="N365" t="s">
        <v>52</v>
      </c>
      <c r="O365">
        <v>4</v>
      </c>
      <c r="P365" t="s">
        <v>86</v>
      </c>
      <c r="Q365">
        <v>14</v>
      </c>
      <c r="R365">
        <v>105155</v>
      </c>
      <c r="S365">
        <v>756000</v>
      </c>
      <c r="T365" s="3">
        <v>4850845</v>
      </c>
    </row>
    <row r="366" spans="1:20" x14ac:dyDescent="0.3">
      <c r="A366">
        <v>1365</v>
      </c>
      <c r="B366" t="s">
        <v>72</v>
      </c>
      <c r="C366" t="s">
        <v>21</v>
      </c>
      <c r="D366">
        <v>35</v>
      </c>
      <c r="E366" t="s">
        <v>112</v>
      </c>
      <c r="F366" t="s">
        <v>62</v>
      </c>
      <c r="G366" t="s">
        <v>56</v>
      </c>
      <c r="H366" t="s">
        <v>57</v>
      </c>
      <c r="I366" t="s">
        <v>39</v>
      </c>
      <c r="J366" t="s">
        <v>40</v>
      </c>
      <c r="K366" t="s">
        <v>304</v>
      </c>
      <c r="L366" t="s">
        <v>59</v>
      </c>
      <c r="M366" t="s">
        <v>51</v>
      </c>
      <c r="N366" t="s">
        <v>31</v>
      </c>
      <c r="O366">
        <v>2</v>
      </c>
      <c r="P366" t="s">
        <v>53</v>
      </c>
      <c r="Q366">
        <v>20</v>
      </c>
      <c r="R366">
        <v>274965</v>
      </c>
      <c r="S366">
        <v>936000</v>
      </c>
      <c r="T366" s="3">
        <v>5861035</v>
      </c>
    </row>
    <row r="367" spans="1:20" x14ac:dyDescent="0.3">
      <c r="A367">
        <v>1366</v>
      </c>
      <c r="B367" t="s">
        <v>99</v>
      </c>
      <c r="C367" t="s">
        <v>21</v>
      </c>
      <c r="D367">
        <v>53</v>
      </c>
      <c r="E367" t="s">
        <v>35</v>
      </c>
      <c r="F367" t="s">
        <v>36</v>
      </c>
      <c r="G367" t="s">
        <v>74</v>
      </c>
      <c r="H367" t="s">
        <v>75</v>
      </c>
      <c r="I367" t="s">
        <v>26</v>
      </c>
      <c r="J367" t="s">
        <v>87</v>
      </c>
      <c r="K367" t="s">
        <v>392</v>
      </c>
      <c r="L367" t="s">
        <v>42</v>
      </c>
      <c r="M367" t="s">
        <v>94</v>
      </c>
      <c r="N367" t="s">
        <v>31</v>
      </c>
      <c r="O367">
        <v>3</v>
      </c>
      <c r="P367" t="s">
        <v>86</v>
      </c>
      <c r="Q367">
        <v>20</v>
      </c>
      <c r="R367">
        <v>89911</v>
      </c>
      <c r="S367">
        <v>1764000</v>
      </c>
      <c r="T367" s="3">
        <v>11474089</v>
      </c>
    </row>
    <row r="368" spans="1:20" x14ac:dyDescent="0.3">
      <c r="A368">
        <v>1367</v>
      </c>
      <c r="B368" t="s">
        <v>45</v>
      </c>
      <c r="C368" t="s">
        <v>21</v>
      </c>
      <c r="D368">
        <v>55</v>
      </c>
      <c r="E368" t="s">
        <v>118</v>
      </c>
      <c r="F368" t="s">
        <v>36</v>
      </c>
      <c r="G368" t="s">
        <v>74</v>
      </c>
      <c r="H368" t="s">
        <v>75</v>
      </c>
      <c r="I368" t="s">
        <v>39</v>
      </c>
      <c r="J368" t="s">
        <v>49</v>
      </c>
      <c r="K368" t="s">
        <v>393</v>
      </c>
      <c r="L368" t="s">
        <v>71</v>
      </c>
      <c r="M368" t="s">
        <v>30</v>
      </c>
      <c r="N368" t="s">
        <v>31</v>
      </c>
      <c r="O368">
        <v>4</v>
      </c>
      <c r="P368" t="s">
        <v>53</v>
      </c>
      <c r="Q368">
        <v>12</v>
      </c>
      <c r="R368">
        <v>161841</v>
      </c>
      <c r="S368">
        <v>1350000</v>
      </c>
      <c r="T368" s="3">
        <v>8688159</v>
      </c>
    </row>
    <row r="369" spans="1:20" x14ac:dyDescent="0.3">
      <c r="A369">
        <v>1368</v>
      </c>
      <c r="B369" t="s">
        <v>60</v>
      </c>
      <c r="C369" t="s">
        <v>34</v>
      </c>
      <c r="D369">
        <v>53</v>
      </c>
      <c r="E369" t="s">
        <v>61</v>
      </c>
      <c r="F369" t="s">
        <v>55</v>
      </c>
      <c r="G369" t="s">
        <v>47</v>
      </c>
      <c r="H369" t="s">
        <v>25</v>
      </c>
      <c r="I369" t="s">
        <v>26</v>
      </c>
      <c r="J369" t="s">
        <v>87</v>
      </c>
      <c r="K369" t="s">
        <v>394</v>
      </c>
      <c r="L369" t="s">
        <v>71</v>
      </c>
      <c r="M369" t="s">
        <v>78</v>
      </c>
      <c r="N369" t="s">
        <v>31</v>
      </c>
      <c r="O369">
        <v>4</v>
      </c>
      <c r="P369" t="s">
        <v>44</v>
      </c>
      <c r="Q369">
        <v>14</v>
      </c>
      <c r="R369">
        <v>185595</v>
      </c>
      <c r="S369">
        <v>2250000</v>
      </c>
      <c r="T369" s="3">
        <v>14564405</v>
      </c>
    </row>
    <row r="370" spans="1:20" x14ac:dyDescent="0.3">
      <c r="A370">
        <v>1369</v>
      </c>
      <c r="B370" t="s">
        <v>108</v>
      </c>
      <c r="C370" t="s">
        <v>34</v>
      </c>
      <c r="D370">
        <v>28</v>
      </c>
      <c r="E370" t="s">
        <v>82</v>
      </c>
      <c r="F370" t="s">
        <v>23</v>
      </c>
      <c r="G370" t="s">
        <v>105</v>
      </c>
      <c r="H370" t="s">
        <v>106</v>
      </c>
      <c r="I370" t="s">
        <v>26</v>
      </c>
      <c r="J370" t="s">
        <v>27</v>
      </c>
      <c r="K370" t="s">
        <v>394</v>
      </c>
      <c r="L370" t="s">
        <v>42</v>
      </c>
      <c r="M370" t="s">
        <v>94</v>
      </c>
      <c r="N370" t="s">
        <v>52</v>
      </c>
      <c r="O370">
        <v>2</v>
      </c>
      <c r="P370" t="s">
        <v>53</v>
      </c>
      <c r="Q370">
        <v>19</v>
      </c>
      <c r="R370">
        <v>138842</v>
      </c>
      <c r="S370">
        <v>1098000</v>
      </c>
      <c r="T370" s="3">
        <v>7059158</v>
      </c>
    </row>
    <row r="371" spans="1:20" x14ac:dyDescent="0.3">
      <c r="A371">
        <v>1370</v>
      </c>
      <c r="B371" t="s">
        <v>99</v>
      </c>
      <c r="C371" t="s">
        <v>21</v>
      </c>
      <c r="D371">
        <v>28</v>
      </c>
      <c r="E371" t="s">
        <v>68</v>
      </c>
      <c r="F371" t="s">
        <v>55</v>
      </c>
      <c r="G371" t="s">
        <v>115</v>
      </c>
      <c r="H371" t="s">
        <v>106</v>
      </c>
      <c r="I371" t="s">
        <v>39</v>
      </c>
      <c r="J371" t="s">
        <v>87</v>
      </c>
      <c r="K371" t="s">
        <v>376</v>
      </c>
      <c r="L371" t="s">
        <v>59</v>
      </c>
      <c r="M371" t="s">
        <v>94</v>
      </c>
      <c r="N371" t="s">
        <v>52</v>
      </c>
      <c r="O371">
        <v>2</v>
      </c>
      <c r="P371" t="s">
        <v>53</v>
      </c>
      <c r="Q371">
        <v>19</v>
      </c>
      <c r="R371">
        <v>259423</v>
      </c>
      <c r="S371">
        <v>846000</v>
      </c>
      <c r="T371" s="3">
        <v>5286577</v>
      </c>
    </row>
    <row r="372" spans="1:20" x14ac:dyDescent="0.3">
      <c r="A372">
        <v>1371</v>
      </c>
      <c r="B372" t="s">
        <v>45</v>
      </c>
      <c r="C372" t="s">
        <v>21</v>
      </c>
      <c r="D372">
        <v>59</v>
      </c>
      <c r="E372" t="s">
        <v>73</v>
      </c>
      <c r="F372" t="s">
        <v>23</v>
      </c>
      <c r="G372" t="s">
        <v>74</v>
      </c>
      <c r="H372" t="s">
        <v>75</v>
      </c>
      <c r="I372" t="s">
        <v>39</v>
      </c>
      <c r="J372" t="s">
        <v>87</v>
      </c>
      <c r="K372" t="s">
        <v>361</v>
      </c>
      <c r="L372" t="s">
        <v>66</v>
      </c>
      <c r="M372" t="s">
        <v>51</v>
      </c>
      <c r="N372" t="s">
        <v>31</v>
      </c>
      <c r="O372">
        <v>2</v>
      </c>
      <c r="P372" t="s">
        <v>32</v>
      </c>
      <c r="Q372">
        <v>16</v>
      </c>
      <c r="R372">
        <v>233109</v>
      </c>
      <c r="S372">
        <v>1224000</v>
      </c>
      <c r="T372" s="3">
        <v>7790891</v>
      </c>
    </row>
    <row r="373" spans="1:20" x14ac:dyDescent="0.3">
      <c r="A373">
        <v>1372</v>
      </c>
      <c r="B373" t="s">
        <v>114</v>
      </c>
      <c r="C373" t="s">
        <v>21</v>
      </c>
      <c r="D373">
        <v>30</v>
      </c>
      <c r="E373" t="s">
        <v>112</v>
      </c>
      <c r="F373" t="s">
        <v>55</v>
      </c>
      <c r="G373" t="s">
        <v>37</v>
      </c>
      <c r="H373" t="s">
        <v>38</v>
      </c>
      <c r="I373" t="s">
        <v>26</v>
      </c>
      <c r="J373" t="s">
        <v>27</v>
      </c>
      <c r="K373" t="s">
        <v>395</v>
      </c>
      <c r="L373" t="s">
        <v>71</v>
      </c>
      <c r="M373" t="s">
        <v>78</v>
      </c>
      <c r="N373" t="s">
        <v>52</v>
      </c>
      <c r="O373">
        <v>2</v>
      </c>
      <c r="P373" t="s">
        <v>53</v>
      </c>
      <c r="Q373">
        <v>22</v>
      </c>
      <c r="R373">
        <v>76745</v>
      </c>
      <c r="S373">
        <v>936000</v>
      </c>
      <c r="T373" s="3">
        <v>6059255</v>
      </c>
    </row>
    <row r="374" spans="1:20" x14ac:dyDescent="0.3">
      <c r="A374">
        <v>1373</v>
      </c>
      <c r="B374" t="s">
        <v>20</v>
      </c>
      <c r="C374" t="s">
        <v>34</v>
      </c>
      <c r="D374">
        <v>49</v>
      </c>
      <c r="E374" t="s">
        <v>118</v>
      </c>
      <c r="F374" t="s">
        <v>23</v>
      </c>
      <c r="G374" t="s">
        <v>91</v>
      </c>
      <c r="H374" t="s">
        <v>25</v>
      </c>
      <c r="I374" t="s">
        <v>26</v>
      </c>
      <c r="J374" t="s">
        <v>27</v>
      </c>
      <c r="K374" t="s">
        <v>396</v>
      </c>
      <c r="L374" t="s">
        <v>29</v>
      </c>
      <c r="M374" t="s">
        <v>43</v>
      </c>
      <c r="N374" t="s">
        <v>31</v>
      </c>
      <c r="O374">
        <v>2</v>
      </c>
      <c r="P374" t="s">
        <v>86</v>
      </c>
      <c r="Q374">
        <v>8</v>
      </c>
      <c r="R374">
        <v>227775</v>
      </c>
      <c r="S374">
        <v>1350000</v>
      </c>
      <c r="T374" s="3">
        <v>8622225</v>
      </c>
    </row>
    <row r="375" spans="1:20" x14ac:dyDescent="0.3">
      <c r="A375">
        <v>1374</v>
      </c>
      <c r="B375" t="s">
        <v>95</v>
      </c>
      <c r="C375" t="s">
        <v>34</v>
      </c>
      <c r="D375">
        <v>42</v>
      </c>
      <c r="E375" t="s">
        <v>90</v>
      </c>
      <c r="F375" t="s">
        <v>23</v>
      </c>
      <c r="G375" t="s">
        <v>91</v>
      </c>
      <c r="H375" t="s">
        <v>25</v>
      </c>
      <c r="I375" t="s">
        <v>48</v>
      </c>
      <c r="J375" t="s">
        <v>27</v>
      </c>
      <c r="K375" t="s">
        <v>397</v>
      </c>
      <c r="L375" t="s">
        <v>59</v>
      </c>
      <c r="M375" t="s">
        <v>30</v>
      </c>
      <c r="N375" t="s">
        <v>31</v>
      </c>
      <c r="O375">
        <v>2</v>
      </c>
      <c r="P375" t="s">
        <v>44</v>
      </c>
      <c r="Q375">
        <v>20</v>
      </c>
      <c r="R375">
        <v>145727</v>
      </c>
      <c r="S375">
        <v>702000</v>
      </c>
      <c r="T375" s="3">
        <v>4456273</v>
      </c>
    </row>
    <row r="376" spans="1:20" x14ac:dyDescent="0.3">
      <c r="A376">
        <v>1375</v>
      </c>
      <c r="B376" t="s">
        <v>104</v>
      </c>
      <c r="C376" t="s">
        <v>34</v>
      </c>
      <c r="D376">
        <v>58</v>
      </c>
      <c r="E376" t="s">
        <v>118</v>
      </c>
      <c r="F376" t="s">
        <v>62</v>
      </c>
      <c r="G376" t="s">
        <v>56</v>
      </c>
      <c r="H376" t="s">
        <v>57</v>
      </c>
      <c r="I376" t="s">
        <v>26</v>
      </c>
      <c r="J376" t="s">
        <v>27</v>
      </c>
      <c r="K376" t="s">
        <v>398</v>
      </c>
      <c r="L376" t="s">
        <v>66</v>
      </c>
      <c r="M376" t="s">
        <v>78</v>
      </c>
      <c r="N376" t="s">
        <v>52</v>
      </c>
      <c r="O376">
        <v>5</v>
      </c>
      <c r="P376" t="s">
        <v>86</v>
      </c>
      <c r="Q376">
        <v>7</v>
      </c>
      <c r="R376">
        <v>125674</v>
      </c>
      <c r="S376">
        <v>1350000</v>
      </c>
      <c r="T376" s="3">
        <v>8724326</v>
      </c>
    </row>
    <row r="377" spans="1:20" x14ac:dyDescent="0.3">
      <c r="A377">
        <v>1376</v>
      </c>
      <c r="B377" t="s">
        <v>81</v>
      </c>
      <c r="C377" t="s">
        <v>21</v>
      </c>
      <c r="D377">
        <v>38</v>
      </c>
      <c r="E377" t="s">
        <v>118</v>
      </c>
      <c r="F377" t="s">
        <v>36</v>
      </c>
      <c r="G377" t="s">
        <v>37</v>
      </c>
      <c r="H377" t="s">
        <v>38</v>
      </c>
      <c r="I377" t="s">
        <v>26</v>
      </c>
      <c r="J377" t="s">
        <v>49</v>
      </c>
      <c r="K377" t="s">
        <v>289</v>
      </c>
      <c r="L377" t="s">
        <v>42</v>
      </c>
      <c r="M377" t="s">
        <v>43</v>
      </c>
      <c r="N377" t="s">
        <v>52</v>
      </c>
      <c r="O377">
        <v>5</v>
      </c>
      <c r="P377" t="s">
        <v>53</v>
      </c>
      <c r="Q377">
        <v>17</v>
      </c>
      <c r="R377">
        <v>175446</v>
      </c>
      <c r="S377">
        <v>1350000</v>
      </c>
      <c r="T377" s="3">
        <v>8674554</v>
      </c>
    </row>
    <row r="378" spans="1:20" x14ac:dyDescent="0.3">
      <c r="A378">
        <v>1377</v>
      </c>
      <c r="B378" t="s">
        <v>33</v>
      </c>
      <c r="C378" t="s">
        <v>21</v>
      </c>
      <c r="D378">
        <v>45</v>
      </c>
      <c r="E378" t="s">
        <v>61</v>
      </c>
      <c r="F378" t="s">
        <v>55</v>
      </c>
      <c r="G378" t="s">
        <v>91</v>
      </c>
      <c r="H378" t="s">
        <v>25</v>
      </c>
      <c r="I378" t="s">
        <v>39</v>
      </c>
      <c r="J378" t="s">
        <v>87</v>
      </c>
      <c r="K378" t="s">
        <v>399</v>
      </c>
      <c r="L378" t="s">
        <v>42</v>
      </c>
      <c r="M378" t="s">
        <v>94</v>
      </c>
      <c r="N378" t="s">
        <v>52</v>
      </c>
      <c r="O378">
        <v>5</v>
      </c>
      <c r="P378" t="s">
        <v>32</v>
      </c>
      <c r="Q378">
        <v>18</v>
      </c>
      <c r="R378">
        <v>262840</v>
      </c>
      <c r="S378">
        <v>2250000</v>
      </c>
      <c r="T378" s="3">
        <v>14487160</v>
      </c>
    </row>
    <row r="379" spans="1:20" x14ac:dyDescent="0.3">
      <c r="A379">
        <v>1378</v>
      </c>
      <c r="B379" t="s">
        <v>33</v>
      </c>
      <c r="C379" t="s">
        <v>34</v>
      </c>
      <c r="D379">
        <v>44</v>
      </c>
      <c r="E379" t="s">
        <v>82</v>
      </c>
      <c r="F379" t="s">
        <v>55</v>
      </c>
      <c r="G379" t="s">
        <v>24</v>
      </c>
      <c r="H379" t="s">
        <v>25</v>
      </c>
      <c r="I379" t="s">
        <v>76</v>
      </c>
      <c r="J379" t="s">
        <v>40</v>
      </c>
      <c r="K379" t="s">
        <v>208</v>
      </c>
      <c r="L379" t="s">
        <v>59</v>
      </c>
      <c r="M379" t="s">
        <v>78</v>
      </c>
      <c r="N379" t="s">
        <v>31</v>
      </c>
      <c r="O379">
        <v>5</v>
      </c>
      <c r="P379" t="s">
        <v>32</v>
      </c>
      <c r="Q379">
        <v>19</v>
      </c>
      <c r="R379">
        <v>292762</v>
      </c>
      <c r="S379">
        <v>1098000</v>
      </c>
      <c r="T379" s="3">
        <v>6905238</v>
      </c>
    </row>
    <row r="380" spans="1:20" x14ac:dyDescent="0.3">
      <c r="A380">
        <v>1379</v>
      </c>
      <c r="B380" t="s">
        <v>81</v>
      </c>
      <c r="C380" t="s">
        <v>34</v>
      </c>
      <c r="D380">
        <v>56</v>
      </c>
      <c r="E380" t="s">
        <v>22</v>
      </c>
      <c r="F380" t="s">
        <v>62</v>
      </c>
      <c r="G380" t="s">
        <v>74</v>
      </c>
      <c r="H380" t="s">
        <v>75</v>
      </c>
      <c r="I380" t="s">
        <v>39</v>
      </c>
      <c r="J380" t="s">
        <v>27</v>
      </c>
      <c r="K380" t="s">
        <v>400</v>
      </c>
      <c r="L380" t="s">
        <v>42</v>
      </c>
      <c r="M380" t="s">
        <v>30</v>
      </c>
      <c r="N380" t="s">
        <v>52</v>
      </c>
      <c r="O380">
        <v>2</v>
      </c>
      <c r="P380" t="s">
        <v>32</v>
      </c>
      <c r="Q380">
        <v>20</v>
      </c>
      <c r="R380">
        <v>291058</v>
      </c>
      <c r="S380">
        <v>756000</v>
      </c>
      <c r="T380" s="3">
        <v>4664942</v>
      </c>
    </row>
    <row r="381" spans="1:20" x14ac:dyDescent="0.3">
      <c r="A381">
        <v>1380</v>
      </c>
      <c r="B381" t="s">
        <v>101</v>
      </c>
      <c r="C381" t="s">
        <v>21</v>
      </c>
      <c r="D381">
        <v>30</v>
      </c>
      <c r="E381" t="s">
        <v>118</v>
      </c>
      <c r="F381" t="s">
        <v>62</v>
      </c>
      <c r="G381" t="s">
        <v>24</v>
      </c>
      <c r="H381" t="s">
        <v>25</v>
      </c>
      <c r="I381" t="s">
        <v>97</v>
      </c>
      <c r="J381" t="s">
        <v>49</v>
      </c>
      <c r="K381" t="s">
        <v>401</v>
      </c>
      <c r="L381" t="s">
        <v>42</v>
      </c>
      <c r="M381" t="s">
        <v>43</v>
      </c>
      <c r="N381" t="s">
        <v>31</v>
      </c>
      <c r="O381">
        <v>3</v>
      </c>
      <c r="P381" t="s">
        <v>86</v>
      </c>
      <c r="Q381">
        <v>24</v>
      </c>
      <c r="R381">
        <v>252036</v>
      </c>
      <c r="S381">
        <v>1350000</v>
      </c>
      <c r="T381" s="3">
        <v>8597964</v>
      </c>
    </row>
    <row r="382" spans="1:20" x14ac:dyDescent="0.3">
      <c r="A382">
        <v>1381</v>
      </c>
      <c r="B382" t="s">
        <v>95</v>
      </c>
      <c r="C382" t="s">
        <v>34</v>
      </c>
      <c r="D382">
        <v>29</v>
      </c>
      <c r="E382" t="s">
        <v>68</v>
      </c>
      <c r="F382" t="s">
        <v>55</v>
      </c>
      <c r="G382" t="s">
        <v>105</v>
      </c>
      <c r="H382" t="s">
        <v>106</v>
      </c>
      <c r="I382" t="s">
        <v>76</v>
      </c>
      <c r="J382" t="s">
        <v>49</v>
      </c>
      <c r="K382" t="s">
        <v>262</v>
      </c>
      <c r="L382" t="s">
        <v>59</v>
      </c>
      <c r="M382" t="s">
        <v>78</v>
      </c>
      <c r="N382" t="s">
        <v>52</v>
      </c>
      <c r="O382">
        <v>2</v>
      </c>
      <c r="P382" t="s">
        <v>86</v>
      </c>
      <c r="Q382">
        <v>5</v>
      </c>
      <c r="R382">
        <v>152323</v>
      </c>
      <c r="S382">
        <v>846000</v>
      </c>
      <c r="T382" s="3">
        <v>5393677</v>
      </c>
    </row>
    <row r="383" spans="1:20" x14ac:dyDescent="0.3">
      <c r="A383">
        <v>1382</v>
      </c>
      <c r="B383" t="s">
        <v>79</v>
      </c>
      <c r="C383" t="s">
        <v>21</v>
      </c>
      <c r="D383">
        <v>33</v>
      </c>
      <c r="E383" t="s">
        <v>22</v>
      </c>
      <c r="F383" t="s">
        <v>62</v>
      </c>
      <c r="G383" t="s">
        <v>24</v>
      </c>
      <c r="H383" t="s">
        <v>25</v>
      </c>
      <c r="I383" t="s">
        <v>26</v>
      </c>
      <c r="J383" t="s">
        <v>87</v>
      </c>
      <c r="K383" t="s">
        <v>346</v>
      </c>
      <c r="L383" t="s">
        <v>66</v>
      </c>
      <c r="M383" t="s">
        <v>43</v>
      </c>
      <c r="N383" t="s">
        <v>31</v>
      </c>
      <c r="O383">
        <v>2</v>
      </c>
      <c r="P383" t="s">
        <v>86</v>
      </c>
      <c r="Q383">
        <v>22</v>
      </c>
      <c r="R383">
        <v>77381</v>
      </c>
      <c r="S383">
        <v>756000</v>
      </c>
      <c r="T383" s="3">
        <v>4878619</v>
      </c>
    </row>
    <row r="384" spans="1:20" x14ac:dyDescent="0.3">
      <c r="A384">
        <v>1383</v>
      </c>
      <c r="B384" t="s">
        <v>81</v>
      </c>
      <c r="C384" t="s">
        <v>34</v>
      </c>
      <c r="D384">
        <v>56</v>
      </c>
      <c r="E384" t="s">
        <v>82</v>
      </c>
      <c r="F384" t="s">
        <v>23</v>
      </c>
      <c r="G384" t="s">
        <v>24</v>
      </c>
      <c r="H384" t="s">
        <v>25</v>
      </c>
      <c r="I384" t="s">
        <v>26</v>
      </c>
      <c r="J384" t="s">
        <v>87</v>
      </c>
      <c r="K384" t="s">
        <v>350</v>
      </c>
      <c r="L384" t="s">
        <v>66</v>
      </c>
      <c r="M384" t="s">
        <v>43</v>
      </c>
      <c r="N384" t="s">
        <v>31</v>
      </c>
      <c r="O384">
        <v>2</v>
      </c>
      <c r="P384" t="s">
        <v>86</v>
      </c>
      <c r="Q384">
        <v>12</v>
      </c>
      <c r="R384">
        <v>246177</v>
      </c>
      <c r="S384">
        <v>1098000</v>
      </c>
      <c r="T384" s="3">
        <v>6951823</v>
      </c>
    </row>
    <row r="385" spans="1:20" x14ac:dyDescent="0.3">
      <c r="A385">
        <v>1384</v>
      </c>
      <c r="B385" t="s">
        <v>101</v>
      </c>
      <c r="C385" t="s">
        <v>21</v>
      </c>
      <c r="D385">
        <v>45</v>
      </c>
      <c r="E385" t="s">
        <v>118</v>
      </c>
      <c r="F385" t="s">
        <v>55</v>
      </c>
      <c r="G385" t="s">
        <v>105</v>
      </c>
      <c r="H385" t="s">
        <v>106</v>
      </c>
      <c r="I385" t="s">
        <v>97</v>
      </c>
      <c r="J385" t="s">
        <v>27</v>
      </c>
      <c r="K385" t="s">
        <v>402</v>
      </c>
      <c r="L385" t="s">
        <v>66</v>
      </c>
      <c r="M385" t="s">
        <v>43</v>
      </c>
      <c r="N385" t="s">
        <v>52</v>
      </c>
      <c r="O385">
        <v>3</v>
      </c>
      <c r="P385" t="s">
        <v>86</v>
      </c>
      <c r="Q385">
        <v>14</v>
      </c>
      <c r="R385">
        <v>150013</v>
      </c>
      <c r="S385">
        <v>1350000</v>
      </c>
      <c r="T385" s="3">
        <v>8699987</v>
      </c>
    </row>
    <row r="386" spans="1:20" x14ac:dyDescent="0.3">
      <c r="A386">
        <v>1385</v>
      </c>
      <c r="B386" t="s">
        <v>20</v>
      </c>
      <c r="C386" t="s">
        <v>34</v>
      </c>
      <c r="D386">
        <v>39</v>
      </c>
      <c r="E386" t="s">
        <v>90</v>
      </c>
      <c r="F386" t="s">
        <v>36</v>
      </c>
      <c r="G386" t="s">
        <v>56</v>
      </c>
      <c r="H386" t="s">
        <v>57</v>
      </c>
      <c r="I386" t="s">
        <v>26</v>
      </c>
      <c r="J386" t="s">
        <v>40</v>
      </c>
      <c r="K386" t="s">
        <v>403</v>
      </c>
      <c r="L386" t="s">
        <v>29</v>
      </c>
      <c r="M386" t="s">
        <v>43</v>
      </c>
      <c r="N386" t="s">
        <v>52</v>
      </c>
      <c r="O386">
        <v>3</v>
      </c>
      <c r="P386" t="s">
        <v>53</v>
      </c>
      <c r="Q386">
        <v>9</v>
      </c>
      <c r="R386">
        <v>262801</v>
      </c>
      <c r="S386">
        <v>702000</v>
      </c>
      <c r="T386" s="3">
        <v>4339199</v>
      </c>
    </row>
    <row r="387" spans="1:20" x14ac:dyDescent="0.3">
      <c r="A387">
        <v>1386</v>
      </c>
      <c r="B387" t="s">
        <v>104</v>
      </c>
      <c r="C387" t="s">
        <v>34</v>
      </c>
      <c r="D387">
        <v>30</v>
      </c>
      <c r="E387" t="s">
        <v>118</v>
      </c>
      <c r="F387" t="s">
        <v>23</v>
      </c>
      <c r="G387" t="s">
        <v>24</v>
      </c>
      <c r="H387" t="s">
        <v>25</v>
      </c>
      <c r="I387" t="s">
        <v>39</v>
      </c>
      <c r="J387" t="s">
        <v>40</v>
      </c>
      <c r="K387" t="s">
        <v>364</v>
      </c>
      <c r="L387" t="s">
        <v>29</v>
      </c>
      <c r="M387" t="s">
        <v>78</v>
      </c>
      <c r="N387" t="s">
        <v>52</v>
      </c>
      <c r="O387">
        <v>3</v>
      </c>
      <c r="P387" t="s">
        <v>44</v>
      </c>
      <c r="Q387">
        <v>15</v>
      </c>
      <c r="R387">
        <v>128976</v>
      </c>
      <c r="S387">
        <v>1350000</v>
      </c>
      <c r="T387" s="3">
        <v>8721024</v>
      </c>
    </row>
    <row r="388" spans="1:20" x14ac:dyDescent="0.3">
      <c r="A388">
        <v>1387</v>
      </c>
      <c r="B388" t="s">
        <v>81</v>
      </c>
      <c r="C388" t="s">
        <v>21</v>
      </c>
      <c r="D388">
        <v>28</v>
      </c>
      <c r="E388" t="s">
        <v>112</v>
      </c>
      <c r="F388" t="s">
        <v>62</v>
      </c>
      <c r="G388" t="s">
        <v>105</v>
      </c>
      <c r="H388" t="s">
        <v>106</v>
      </c>
      <c r="I388" t="s">
        <v>76</v>
      </c>
      <c r="J388" t="s">
        <v>87</v>
      </c>
      <c r="K388" t="s">
        <v>314</v>
      </c>
      <c r="L388" t="s">
        <v>29</v>
      </c>
      <c r="M388" t="s">
        <v>51</v>
      </c>
      <c r="N388" t="s">
        <v>31</v>
      </c>
      <c r="O388">
        <v>3</v>
      </c>
      <c r="P388" t="s">
        <v>86</v>
      </c>
      <c r="Q388">
        <v>13</v>
      </c>
      <c r="R388">
        <v>184503</v>
      </c>
      <c r="S388">
        <v>936000</v>
      </c>
      <c r="T388" s="3">
        <v>5951497</v>
      </c>
    </row>
    <row r="389" spans="1:20" x14ac:dyDescent="0.3">
      <c r="A389">
        <v>1388</v>
      </c>
      <c r="B389" t="s">
        <v>20</v>
      </c>
      <c r="C389" t="s">
        <v>21</v>
      </c>
      <c r="D389">
        <v>60</v>
      </c>
      <c r="E389" t="s">
        <v>90</v>
      </c>
      <c r="F389" t="s">
        <v>55</v>
      </c>
      <c r="G389" t="s">
        <v>63</v>
      </c>
      <c r="H389" t="s">
        <v>64</v>
      </c>
      <c r="I389" t="s">
        <v>26</v>
      </c>
      <c r="J389" t="s">
        <v>87</v>
      </c>
      <c r="K389" t="s">
        <v>404</v>
      </c>
      <c r="L389" t="s">
        <v>42</v>
      </c>
      <c r="M389" t="s">
        <v>78</v>
      </c>
      <c r="N389" t="s">
        <v>52</v>
      </c>
      <c r="O389">
        <v>2</v>
      </c>
      <c r="P389" t="s">
        <v>53</v>
      </c>
      <c r="Q389">
        <v>21</v>
      </c>
      <c r="R389">
        <v>111893</v>
      </c>
      <c r="S389">
        <v>702000</v>
      </c>
      <c r="T389" s="3">
        <v>4490107</v>
      </c>
    </row>
    <row r="390" spans="1:20" x14ac:dyDescent="0.3">
      <c r="A390">
        <v>1389</v>
      </c>
      <c r="B390" t="s">
        <v>45</v>
      </c>
      <c r="C390" t="s">
        <v>34</v>
      </c>
      <c r="D390">
        <v>50</v>
      </c>
      <c r="E390" t="s">
        <v>68</v>
      </c>
      <c r="F390" t="s">
        <v>23</v>
      </c>
      <c r="G390" t="s">
        <v>37</v>
      </c>
      <c r="H390" t="s">
        <v>38</v>
      </c>
      <c r="I390" t="s">
        <v>48</v>
      </c>
      <c r="J390" t="s">
        <v>49</v>
      </c>
      <c r="K390" t="s">
        <v>405</v>
      </c>
      <c r="L390" t="s">
        <v>59</v>
      </c>
      <c r="M390" t="s">
        <v>30</v>
      </c>
      <c r="N390" t="s">
        <v>52</v>
      </c>
      <c r="O390">
        <v>3</v>
      </c>
      <c r="P390" t="s">
        <v>53</v>
      </c>
      <c r="Q390">
        <v>22</v>
      </c>
      <c r="R390">
        <v>127935</v>
      </c>
      <c r="S390">
        <v>846000</v>
      </c>
      <c r="T390" s="3">
        <v>5418065</v>
      </c>
    </row>
    <row r="391" spans="1:20" x14ac:dyDescent="0.3">
      <c r="A391">
        <v>1390</v>
      </c>
      <c r="B391" t="s">
        <v>54</v>
      </c>
      <c r="C391" t="s">
        <v>34</v>
      </c>
      <c r="D391">
        <v>32</v>
      </c>
      <c r="E391" t="s">
        <v>46</v>
      </c>
      <c r="F391" t="s">
        <v>55</v>
      </c>
      <c r="G391" t="s">
        <v>115</v>
      </c>
      <c r="H391" t="s">
        <v>106</v>
      </c>
      <c r="I391" t="s">
        <v>48</v>
      </c>
      <c r="J391" t="s">
        <v>49</v>
      </c>
      <c r="K391" t="s">
        <v>406</v>
      </c>
      <c r="L391" t="s">
        <v>59</v>
      </c>
      <c r="M391" t="s">
        <v>43</v>
      </c>
      <c r="N391" t="s">
        <v>31</v>
      </c>
      <c r="O391">
        <v>3</v>
      </c>
      <c r="P391" t="s">
        <v>86</v>
      </c>
      <c r="Q391">
        <v>17</v>
      </c>
      <c r="R391">
        <v>220700</v>
      </c>
      <c r="S391">
        <v>5760000</v>
      </c>
      <c r="T391" s="3">
        <v>37539300</v>
      </c>
    </row>
    <row r="392" spans="1:20" x14ac:dyDescent="0.3">
      <c r="A392">
        <v>1391</v>
      </c>
      <c r="B392" t="s">
        <v>108</v>
      </c>
      <c r="C392" t="s">
        <v>21</v>
      </c>
      <c r="D392">
        <v>40</v>
      </c>
      <c r="E392" t="s">
        <v>73</v>
      </c>
      <c r="F392" t="s">
        <v>36</v>
      </c>
      <c r="G392" t="s">
        <v>47</v>
      </c>
      <c r="H392" t="s">
        <v>25</v>
      </c>
      <c r="I392" t="s">
        <v>76</v>
      </c>
      <c r="J392" t="s">
        <v>87</v>
      </c>
      <c r="K392" t="s">
        <v>402</v>
      </c>
      <c r="L392" t="s">
        <v>66</v>
      </c>
      <c r="M392" t="s">
        <v>30</v>
      </c>
      <c r="N392" t="s">
        <v>31</v>
      </c>
      <c r="O392">
        <v>4</v>
      </c>
      <c r="P392" t="s">
        <v>32</v>
      </c>
      <c r="Q392">
        <v>19</v>
      </c>
      <c r="R392">
        <v>278356</v>
      </c>
      <c r="S392">
        <v>1224000</v>
      </c>
      <c r="T392" s="3">
        <v>7745644</v>
      </c>
    </row>
    <row r="393" spans="1:20" x14ac:dyDescent="0.3">
      <c r="A393">
        <v>1392</v>
      </c>
      <c r="B393" t="s">
        <v>67</v>
      </c>
      <c r="C393" t="s">
        <v>21</v>
      </c>
      <c r="D393">
        <v>57</v>
      </c>
      <c r="E393" t="s">
        <v>112</v>
      </c>
      <c r="F393" t="s">
        <v>36</v>
      </c>
      <c r="G393" t="s">
        <v>47</v>
      </c>
      <c r="H393" t="s">
        <v>25</v>
      </c>
      <c r="I393" t="s">
        <v>97</v>
      </c>
      <c r="J393" t="s">
        <v>87</v>
      </c>
      <c r="K393" t="s">
        <v>407</v>
      </c>
      <c r="L393" t="s">
        <v>71</v>
      </c>
      <c r="M393" t="s">
        <v>43</v>
      </c>
      <c r="N393" t="s">
        <v>31</v>
      </c>
      <c r="O393">
        <v>5</v>
      </c>
      <c r="P393" t="s">
        <v>44</v>
      </c>
      <c r="Q393">
        <v>11</v>
      </c>
      <c r="R393">
        <v>86696</v>
      </c>
      <c r="S393">
        <v>936000</v>
      </c>
      <c r="T393" s="3">
        <v>6049304</v>
      </c>
    </row>
    <row r="394" spans="1:20" x14ac:dyDescent="0.3">
      <c r="A394">
        <v>1393</v>
      </c>
      <c r="B394" t="s">
        <v>79</v>
      </c>
      <c r="C394" t="s">
        <v>21</v>
      </c>
      <c r="D394">
        <v>29</v>
      </c>
      <c r="E394" t="s">
        <v>118</v>
      </c>
      <c r="F394" t="s">
        <v>36</v>
      </c>
      <c r="G394" t="s">
        <v>63</v>
      </c>
      <c r="H394" t="s">
        <v>64</v>
      </c>
      <c r="I394" t="s">
        <v>97</v>
      </c>
      <c r="J394" t="s">
        <v>49</v>
      </c>
      <c r="K394" t="s">
        <v>109</v>
      </c>
      <c r="L394" t="s">
        <v>29</v>
      </c>
      <c r="M394" t="s">
        <v>30</v>
      </c>
      <c r="N394" t="s">
        <v>31</v>
      </c>
      <c r="O394">
        <v>2</v>
      </c>
      <c r="P394" t="s">
        <v>86</v>
      </c>
      <c r="Q394">
        <v>6</v>
      </c>
      <c r="R394">
        <v>145511</v>
      </c>
      <c r="S394">
        <v>1350000</v>
      </c>
      <c r="T394" s="3">
        <v>8704489</v>
      </c>
    </row>
    <row r="395" spans="1:20" x14ac:dyDescent="0.3">
      <c r="A395">
        <v>1394</v>
      </c>
      <c r="B395" t="s">
        <v>101</v>
      </c>
      <c r="C395" t="s">
        <v>34</v>
      </c>
      <c r="D395">
        <v>56</v>
      </c>
      <c r="E395" t="s">
        <v>35</v>
      </c>
      <c r="F395" t="s">
        <v>62</v>
      </c>
      <c r="G395" t="s">
        <v>74</v>
      </c>
      <c r="H395" t="s">
        <v>75</v>
      </c>
      <c r="I395" t="s">
        <v>39</v>
      </c>
      <c r="J395" t="s">
        <v>49</v>
      </c>
      <c r="K395" t="s">
        <v>408</v>
      </c>
      <c r="L395" t="s">
        <v>59</v>
      </c>
      <c r="M395" t="s">
        <v>51</v>
      </c>
      <c r="N395" t="s">
        <v>52</v>
      </c>
      <c r="O395">
        <v>3</v>
      </c>
      <c r="P395" t="s">
        <v>86</v>
      </c>
      <c r="Q395">
        <v>11</v>
      </c>
      <c r="R395">
        <v>240738</v>
      </c>
      <c r="S395">
        <v>1764000</v>
      </c>
      <c r="T395" s="3">
        <v>11323262</v>
      </c>
    </row>
    <row r="396" spans="1:20" x14ac:dyDescent="0.3">
      <c r="A396">
        <v>1395</v>
      </c>
      <c r="B396" t="s">
        <v>67</v>
      </c>
      <c r="C396" t="s">
        <v>21</v>
      </c>
      <c r="D396">
        <v>56</v>
      </c>
      <c r="E396" t="s">
        <v>35</v>
      </c>
      <c r="F396" t="s">
        <v>55</v>
      </c>
      <c r="G396" t="s">
        <v>24</v>
      </c>
      <c r="H396" t="s">
        <v>25</v>
      </c>
      <c r="I396" t="s">
        <v>97</v>
      </c>
      <c r="J396" t="s">
        <v>49</v>
      </c>
      <c r="K396" t="s">
        <v>158</v>
      </c>
      <c r="L396" t="s">
        <v>59</v>
      </c>
      <c r="M396" t="s">
        <v>51</v>
      </c>
      <c r="N396" t="s">
        <v>52</v>
      </c>
      <c r="O396">
        <v>5</v>
      </c>
      <c r="P396" t="s">
        <v>44</v>
      </c>
      <c r="Q396">
        <v>25</v>
      </c>
      <c r="R396">
        <v>245721</v>
      </c>
      <c r="S396">
        <v>1764000</v>
      </c>
      <c r="T396" s="3">
        <v>11318279</v>
      </c>
    </row>
    <row r="397" spans="1:20" x14ac:dyDescent="0.3">
      <c r="A397">
        <v>1396</v>
      </c>
      <c r="B397" t="s">
        <v>99</v>
      </c>
      <c r="C397" t="s">
        <v>21</v>
      </c>
      <c r="D397">
        <v>33</v>
      </c>
      <c r="E397" t="s">
        <v>61</v>
      </c>
      <c r="F397" t="s">
        <v>55</v>
      </c>
      <c r="G397" t="s">
        <v>56</v>
      </c>
      <c r="H397" t="s">
        <v>57</v>
      </c>
      <c r="I397" t="s">
        <v>48</v>
      </c>
      <c r="J397" t="s">
        <v>40</v>
      </c>
      <c r="K397" t="s">
        <v>390</v>
      </c>
      <c r="L397" t="s">
        <v>42</v>
      </c>
      <c r="M397" t="s">
        <v>43</v>
      </c>
      <c r="N397" t="s">
        <v>31</v>
      </c>
      <c r="O397">
        <v>3</v>
      </c>
      <c r="P397" t="s">
        <v>44</v>
      </c>
      <c r="Q397">
        <v>15</v>
      </c>
      <c r="R397">
        <v>206987</v>
      </c>
      <c r="S397">
        <v>2250000</v>
      </c>
      <c r="T397" s="3">
        <v>14543013</v>
      </c>
    </row>
    <row r="398" spans="1:20" x14ac:dyDescent="0.3">
      <c r="A398">
        <v>1397</v>
      </c>
      <c r="B398" t="s">
        <v>45</v>
      </c>
      <c r="C398" t="s">
        <v>34</v>
      </c>
      <c r="D398">
        <v>34</v>
      </c>
      <c r="E398" t="s">
        <v>90</v>
      </c>
      <c r="F398" t="s">
        <v>36</v>
      </c>
      <c r="G398" t="s">
        <v>74</v>
      </c>
      <c r="H398" t="s">
        <v>75</v>
      </c>
      <c r="I398" t="s">
        <v>39</v>
      </c>
      <c r="J398" t="s">
        <v>49</v>
      </c>
      <c r="K398" t="s">
        <v>409</v>
      </c>
      <c r="L398" t="s">
        <v>42</v>
      </c>
      <c r="M398" t="s">
        <v>78</v>
      </c>
      <c r="N398" t="s">
        <v>31</v>
      </c>
      <c r="O398">
        <v>4</v>
      </c>
      <c r="P398" t="s">
        <v>53</v>
      </c>
      <c r="Q398">
        <v>5</v>
      </c>
      <c r="R398">
        <v>175588</v>
      </c>
      <c r="S398">
        <v>702000</v>
      </c>
      <c r="T398" s="3">
        <v>4426412</v>
      </c>
    </row>
    <row r="399" spans="1:20" x14ac:dyDescent="0.3">
      <c r="A399">
        <v>1398</v>
      </c>
      <c r="B399" t="s">
        <v>95</v>
      </c>
      <c r="C399" t="s">
        <v>34</v>
      </c>
      <c r="D399">
        <v>56</v>
      </c>
      <c r="E399" t="s">
        <v>112</v>
      </c>
      <c r="F399" t="s">
        <v>36</v>
      </c>
      <c r="G399" t="s">
        <v>69</v>
      </c>
      <c r="H399" t="s">
        <v>69</v>
      </c>
      <c r="I399" t="s">
        <v>76</v>
      </c>
      <c r="J399" t="s">
        <v>27</v>
      </c>
      <c r="K399" t="s">
        <v>410</v>
      </c>
      <c r="L399" t="s">
        <v>66</v>
      </c>
      <c r="M399" t="s">
        <v>51</v>
      </c>
      <c r="N399" t="s">
        <v>52</v>
      </c>
      <c r="O399">
        <v>2</v>
      </c>
      <c r="P399" t="s">
        <v>86</v>
      </c>
      <c r="Q399">
        <v>25</v>
      </c>
      <c r="R399">
        <v>244918</v>
      </c>
      <c r="S399">
        <v>936000</v>
      </c>
      <c r="T399" s="3">
        <v>5891082</v>
      </c>
    </row>
    <row r="400" spans="1:20" x14ac:dyDescent="0.3">
      <c r="A400">
        <v>1399</v>
      </c>
      <c r="B400" t="s">
        <v>67</v>
      </c>
      <c r="C400" t="s">
        <v>21</v>
      </c>
      <c r="D400">
        <v>37</v>
      </c>
      <c r="E400" t="s">
        <v>112</v>
      </c>
      <c r="F400" t="s">
        <v>55</v>
      </c>
      <c r="G400" t="s">
        <v>37</v>
      </c>
      <c r="H400" t="s">
        <v>38</v>
      </c>
      <c r="I400" t="s">
        <v>48</v>
      </c>
      <c r="J400" t="s">
        <v>40</v>
      </c>
      <c r="K400" t="s">
        <v>411</v>
      </c>
      <c r="L400" t="s">
        <v>59</v>
      </c>
      <c r="M400" t="s">
        <v>43</v>
      </c>
      <c r="N400" t="s">
        <v>52</v>
      </c>
      <c r="O400">
        <v>2</v>
      </c>
      <c r="P400" t="s">
        <v>32</v>
      </c>
      <c r="Q400">
        <v>7</v>
      </c>
      <c r="R400">
        <v>97228</v>
      </c>
      <c r="S400">
        <v>936000</v>
      </c>
      <c r="T400" s="3">
        <v>6038772</v>
      </c>
    </row>
    <row r="401" spans="1:20" x14ac:dyDescent="0.3">
      <c r="A401">
        <v>1400</v>
      </c>
      <c r="B401" t="s">
        <v>95</v>
      </c>
      <c r="C401" t="s">
        <v>21</v>
      </c>
      <c r="D401">
        <v>44</v>
      </c>
      <c r="E401" t="s">
        <v>112</v>
      </c>
      <c r="F401" t="s">
        <v>55</v>
      </c>
      <c r="G401" t="s">
        <v>47</v>
      </c>
      <c r="H401" t="s">
        <v>25</v>
      </c>
      <c r="I401" t="s">
        <v>76</v>
      </c>
      <c r="J401" t="s">
        <v>87</v>
      </c>
      <c r="K401" t="s">
        <v>412</v>
      </c>
      <c r="L401" t="s">
        <v>29</v>
      </c>
      <c r="M401" t="s">
        <v>78</v>
      </c>
      <c r="N401" t="s">
        <v>31</v>
      </c>
      <c r="O401">
        <v>5</v>
      </c>
      <c r="P401" t="s">
        <v>32</v>
      </c>
      <c r="Q401">
        <v>8</v>
      </c>
      <c r="R401">
        <v>101567</v>
      </c>
      <c r="S401">
        <v>936000</v>
      </c>
      <c r="T401" s="3">
        <v>6034433</v>
      </c>
    </row>
    <row r="402" spans="1:20" x14ac:dyDescent="0.3">
      <c r="A402">
        <v>1289</v>
      </c>
      <c r="B402" t="s">
        <v>108</v>
      </c>
      <c r="C402" t="s">
        <v>34</v>
      </c>
      <c r="D402">
        <v>41</v>
      </c>
      <c r="E402" t="s">
        <v>112</v>
      </c>
      <c r="F402" t="s">
        <v>36</v>
      </c>
      <c r="G402" t="s">
        <v>105</v>
      </c>
      <c r="H402" t="s">
        <v>106</v>
      </c>
      <c r="I402" t="s">
        <v>48</v>
      </c>
      <c r="J402" t="s">
        <v>87</v>
      </c>
      <c r="K402" t="s">
        <v>338</v>
      </c>
      <c r="L402" t="s">
        <v>29</v>
      </c>
      <c r="M402" t="s">
        <v>78</v>
      </c>
      <c r="N402" t="s">
        <v>52</v>
      </c>
      <c r="O402">
        <v>4</v>
      </c>
      <c r="P402" t="s">
        <v>44</v>
      </c>
      <c r="Q402">
        <v>20</v>
      </c>
      <c r="R402">
        <v>183325</v>
      </c>
      <c r="S402">
        <v>936000</v>
      </c>
      <c r="T402" s="3">
        <v>5952675</v>
      </c>
    </row>
    <row r="403" spans="1:20" x14ac:dyDescent="0.3">
      <c r="A403">
        <v>1064</v>
      </c>
      <c r="B403" t="s">
        <v>54</v>
      </c>
      <c r="C403" t="s">
        <v>34</v>
      </c>
      <c r="D403">
        <v>41</v>
      </c>
      <c r="E403" t="s">
        <v>73</v>
      </c>
      <c r="F403" t="s">
        <v>23</v>
      </c>
      <c r="G403" t="s">
        <v>69</v>
      </c>
      <c r="H403" t="s">
        <v>69</v>
      </c>
      <c r="I403" t="s">
        <v>76</v>
      </c>
      <c r="J403" t="s">
        <v>27</v>
      </c>
      <c r="K403" t="s">
        <v>151</v>
      </c>
      <c r="L403" t="s">
        <v>42</v>
      </c>
      <c r="M403" t="s">
        <v>30</v>
      </c>
      <c r="N403" t="s">
        <v>31</v>
      </c>
      <c r="O403">
        <v>3</v>
      </c>
      <c r="P403" t="s">
        <v>32</v>
      </c>
      <c r="Q403">
        <v>13</v>
      </c>
      <c r="R403">
        <v>221136</v>
      </c>
      <c r="S403">
        <v>1224000</v>
      </c>
      <c r="T403" s="3">
        <v>7802864</v>
      </c>
    </row>
    <row r="404" spans="1:20" x14ac:dyDescent="0.3">
      <c r="A404">
        <v>1377</v>
      </c>
      <c r="B404" t="s">
        <v>33</v>
      </c>
      <c r="C404" t="s">
        <v>21</v>
      </c>
      <c r="D404">
        <v>45</v>
      </c>
      <c r="E404" t="s">
        <v>61</v>
      </c>
      <c r="F404" t="s">
        <v>55</v>
      </c>
      <c r="G404" t="s">
        <v>91</v>
      </c>
      <c r="H404" t="s">
        <v>25</v>
      </c>
      <c r="I404" t="s">
        <v>39</v>
      </c>
      <c r="J404" t="s">
        <v>87</v>
      </c>
      <c r="K404" t="s">
        <v>399</v>
      </c>
      <c r="L404" t="s">
        <v>42</v>
      </c>
      <c r="M404" t="s">
        <v>94</v>
      </c>
      <c r="N404" t="s">
        <v>52</v>
      </c>
      <c r="O404">
        <v>5</v>
      </c>
      <c r="P404" t="s">
        <v>32</v>
      </c>
      <c r="Q404">
        <v>18</v>
      </c>
      <c r="R404">
        <v>262840</v>
      </c>
      <c r="S404">
        <v>2250000</v>
      </c>
      <c r="T404" s="3">
        <v>14487160</v>
      </c>
    </row>
    <row r="405" spans="1:20" x14ac:dyDescent="0.3">
      <c r="A405">
        <v>1039</v>
      </c>
      <c r="B405" t="s">
        <v>99</v>
      </c>
      <c r="C405" t="s">
        <v>34</v>
      </c>
      <c r="D405">
        <v>48</v>
      </c>
      <c r="E405" t="s">
        <v>68</v>
      </c>
      <c r="F405" t="s">
        <v>62</v>
      </c>
      <c r="G405" t="s">
        <v>105</v>
      </c>
      <c r="H405" t="s">
        <v>106</v>
      </c>
      <c r="I405" t="s">
        <v>97</v>
      </c>
      <c r="J405" t="s">
        <v>40</v>
      </c>
      <c r="K405" t="s">
        <v>126</v>
      </c>
      <c r="L405" t="s">
        <v>59</v>
      </c>
      <c r="M405" t="s">
        <v>51</v>
      </c>
      <c r="N405" t="s">
        <v>52</v>
      </c>
      <c r="O405">
        <v>5</v>
      </c>
      <c r="P405" t="s">
        <v>86</v>
      </c>
      <c r="Q405">
        <v>20</v>
      </c>
      <c r="R405">
        <v>75064</v>
      </c>
      <c r="S405">
        <v>846000</v>
      </c>
      <c r="T405" s="3">
        <v>5470936</v>
      </c>
    </row>
    <row r="406" spans="1:20" x14ac:dyDescent="0.3">
      <c r="A406">
        <v>1233</v>
      </c>
      <c r="B406" t="s">
        <v>79</v>
      </c>
      <c r="C406" t="s">
        <v>21</v>
      </c>
      <c r="D406">
        <v>58</v>
      </c>
      <c r="E406" t="s">
        <v>90</v>
      </c>
      <c r="F406" t="s">
        <v>55</v>
      </c>
      <c r="G406" t="s">
        <v>69</v>
      </c>
      <c r="H406" t="s">
        <v>69</v>
      </c>
      <c r="I406" t="s">
        <v>76</v>
      </c>
      <c r="J406" t="s">
        <v>49</v>
      </c>
      <c r="K406" t="s">
        <v>294</v>
      </c>
      <c r="L406" t="s">
        <v>71</v>
      </c>
      <c r="M406" t="s">
        <v>78</v>
      </c>
      <c r="N406" t="s">
        <v>31</v>
      </c>
      <c r="O406">
        <v>4</v>
      </c>
      <c r="P406" t="s">
        <v>86</v>
      </c>
      <c r="Q406">
        <v>8</v>
      </c>
      <c r="R406">
        <v>206505</v>
      </c>
      <c r="S406">
        <v>702000</v>
      </c>
      <c r="T406" s="3">
        <v>4395495</v>
      </c>
    </row>
    <row r="407" spans="1:20" x14ac:dyDescent="0.3">
      <c r="A407">
        <v>1298</v>
      </c>
      <c r="B407" t="s">
        <v>79</v>
      </c>
      <c r="C407" t="s">
        <v>34</v>
      </c>
      <c r="D407">
        <v>50</v>
      </c>
      <c r="E407" t="s">
        <v>73</v>
      </c>
      <c r="F407" t="s">
        <v>36</v>
      </c>
      <c r="G407" t="s">
        <v>37</v>
      </c>
      <c r="H407" t="s">
        <v>38</v>
      </c>
      <c r="I407" t="s">
        <v>48</v>
      </c>
      <c r="J407" t="s">
        <v>87</v>
      </c>
      <c r="K407" t="s">
        <v>346</v>
      </c>
      <c r="L407" t="s">
        <v>66</v>
      </c>
      <c r="M407" t="s">
        <v>78</v>
      </c>
      <c r="N407" t="s">
        <v>31</v>
      </c>
      <c r="O407">
        <v>5</v>
      </c>
      <c r="P407" t="s">
        <v>44</v>
      </c>
      <c r="Q407">
        <v>13</v>
      </c>
      <c r="R407">
        <v>141147</v>
      </c>
      <c r="S407">
        <v>1224000</v>
      </c>
      <c r="T407" s="3">
        <v>7882853</v>
      </c>
    </row>
    <row r="408" spans="1:20" x14ac:dyDescent="0.3">
      <c r="A408">
        <v>1009</v>
      </c>
      <c r="B408" t="s">
        <v>81</v>
      </c>
      <c r="C408" t="s">
        <v>34</v>
      </c>
      <c r="D408">
        <v>54</v>
      </c>
      <c r="E408" t="s">
        <v>82</v>
      </c>
      <c r="F408" t="s">
        <v>23</v>
      </c>
      <c r="G408" t="s">
        <v>37</v>
      </c>
      <c r="H408" t="s">
        <v>38</v>
      </c>
      <c r="I408" t="s">
        <v>76</v>
      </c>
      <c r="J408" t="s">
        <v>27</v>
      </c>
      <c r="K408" t="s">
        <v>83</v>
      </c>
      <c r="L408" t="s">
        <v>29</v>
      </c>
      <c r="M408" t="s">
        <v>30</v>
      </c>
      <c r="N408" t="s">
        <v>52</v>
      </c>
      <c r="O408">
        <v>4</v>
      </c>
      <c r="P408" t="s">
        <v>32</v>
      </c>
      <c r="Q408">
        <v>16</v>
      </c>
      <c r="R408">
        <v>251721</v>
      </c>
      <c r="S408">
        <v>1098000</v>
      </c>
      <c r="T408" s="3">
        <v>6946279</v>
      </c>
    </row>
    <row r="409" spans="1:20" x14ac:dyDescent="0.3">
      <c r="A409">
        <v>1185</v>
      </c>
      <c r="B409" t="s">
        <v>99</v>
      </c>
      <c r="C409" t="s">
        <v>21</v>
      </c>
      <c r="D409">
        <v>44</v>
      </c>
      <c r="E409" t="s">
        <v>112</v>
      </c>
      <c r="F409" t="s">
        <v>55</v>
      </c>
      <c r="G409" t="s">
        <v>37</v>
      </c>
      <c r="H409" t="s">
        <v>38</v>
      </c>
      <c r="I409" t="s">
        <v>48</v>
      </c>
      <c r="J409" t="s">
        <v>40</v>
      </c>
      <c r="K409" t="s">
        <v>253</v>
      </c>
      <c r="L409" t="s">
        <v>71</v>
      </c>
      <c r="M409" t="s">
        <v>51</v>
      </c>
      <c r="N409" t="s">
        <v>31</v>
      </c>
      <c r="O409">
        <v>3</v>
      </c>
      <c r="P409" t="s">
        <v>86</v>
      </c>
      <c r="Q409">
        <v>19</v>
      </c>
      <c r="R409">
        <v>80094</v>
      </c>
      <c r="S409">
        <v>936000</v>
      </c>
      <c r="T409" s="3">
        <v>6055906</v>
      </c>
    </row>
    <row r="410" spans="1:20" x14ac:dyDescent="0.3">
      <c r="A410">
        <v>1399</v>
      </c>
      <c r="B410" t="s">
        <v>67</v>
      </c>
      <c r="C410" t="s">
        <v>21</v>
      </c>
      <c r="D410">
        <v>37</v>
      </c>
      <c r="E410" t="s">
        <v>112</v>
      </c>
      <c r="F410" t="s">
        <v>55</v>
      </c>
      <c r="G410" t="s">
        <v>37</v>
      </c>
      <c r="H410" t="s">
        <v>38</v>
      </c>
      <c r="I410" t="s">
        <v>48</v>
      </c>
      <c r="J410" t="s">
        <v>40</v>
      </c>
      <c r="K410" t="s">
        <v>411</v>
      </c>
      <c r="L410" t="s">
        <v>59</v>
      </c>
      <c r="M410" t="s">
        <v>43</v>
      </c>
      <c r="N410" t="s">
        <v>52</v>
      </c>
      <c r="O410">
        <v>2</v>
      </c>
      <c r="P410" t="s">
        <v>32</v>
      </c>
      <c r="Q410">
        <v>7</v>
      </c>
      <c r="R410">
        <v>97228</v>
      </c>
      <c r="S410">
        <v>936000</v>
      </c>
      <c r="T410" s="3">
        <v>6038772</v>
      </c>
    </row>
    <row r="411" spans="1:20" x14ac:dyDescent="0.3">
      <c r="A411">
        <v>1277</v>
      </c>
      <c r="B411" t="s">
        <v>20</v>
      </c>
      <c r="C411" t="s">
        <v>34</v>
      </c>
      <c r="D411">
        <v>59</v>
      </c>
      <c r="E411" t="s">
        <v>90</v>
      </c>
      <c r="F411" t="s">
        <v>36</v>
      </c>
      <c r="G411" t="s">
        <v>63</v>
      </c>
      <c r="H411" t="s">
        <v>64</v>
      </c>
      <c r="I411" t="s">
        <v>97</v>
      </c>
      <c r="J411" t="s">
        <v>27</v>
      </c>
      <c r="K411" t="s">
        <v>328</v>
      </c>
      <c r="L411" t="s">
        <v>29</v>
      </c>
      <c r="M411" t="s">
        <v>78</v>
      </c>
      <c r="N411" t="s">
        <v>52</v>
      </c>
      <c r="O411">
        <v>5</v>
      </c>
      <c r="P411" t="s">
        <v>44</v>
      </c>
      <c r="Q411">
        <v>21</v>
      </c>
      <c r="R411">
        <v>71163</v>
      </c>
      <c r="S411">
        <v>702000</v>
      </c>
      <c r="T411" s="3">
        <v>4530837</v>
      </c>
    </row>
    <row r="412" spans="1:20" x14ac:dyDescent="0.3">
      <c r="A412">
        <v>1122</v>
      </c>
      <c r="B412" t="s">
        <v>45</v>
      </c>
      <c r="C412" t="s">
        <v>21</v>
      </c>
      <c r="D412">
        <v>50</v>
      </c>
      <c r="E412" t="s">
        <v>46</v>
      </c>
      <c r="F412" t="s">
        <v>23</v>
      </c>
      <c r="G412" t="s">
        <v>74</v>
      </c>
      <c r="H412" t="s">
        <v>75</v>
      </c>
      <c r="I412" t="s">
        <v>39</v>
      </c>
      <c r="J412" t="s">
        <v>40</v>
      </c>
      <c r="K412" t="s">
        <v>202</v>
      </c>
      <c r="L412" t="s">
        <v>66</v>
      </c>
      <c r="M412" t="s">
        <v>30</v>
      </c>
      <c r="N412" t="s">
        <v>31</v>
      </c>
      <c r="O412">
        <v>5</v>
      </c>
      <c r="P412" t="s">
        <v>32</v>
      </c>
      <c r="Q412">
        <v>8</v>
      </c>
      <c r="R412">
        <v>259196</v>
      </c>
      <c r="S412">
        <v>5760000</v>
      </c>
      <c r="T412" s="3">
        <v>37500804</v>
      </c>
    </row>
    <row r="413" spans="1:20" x14ac:dyDescent="0.3">
      <c r="A413">
        <v>1342</v>
      </c>
      <c r="B413" t="s">
        <v>104</v>
      </c>
      <c r="C413" t="s">
        <v>34</v>
      </c>
      <c r="D413">
        <v>46</v>
      </c>
      <c r="E413" t="s">
        <v>68</v>
      </c>
      <c r="F413" t="s">
        <v>36</v>
      </c>
      <c r="G413" t="s">
        <v>105</v>
      </c>
      <c r="H413" t="s">
        <v>106</v>
      </c>
      <c r="I413" t="s">
        <v>26</v>
      </c>
      <c r="J413" t="s">
        <v>87</v>
      </c>
      <c r="K413" t="s">
        <v>378</v>
      </c>
      <c r="L413" t="s">
        <v>66</v>
      </c>
      <c r="M413" t="s">
        <v>78</v>
      </c>
      <c r="N413" t="s">
        <v>52</v>
      </c>
      <c r="O413">
        <v>5</v>
      </c>
      <c r="P413" t="s">
        <v>44</v>
      </c>
      <c r="Q413">
        <v>23</v>
      </c>
      <c r="R413">
        <v>194216</v>
      </c>
      <c r="S413">
        <v>846000</v>
      </c>
      <c r="T413" s="3">
        <v>5351784</v>
      </c>
    </row>
    <row r="414" spans="1:20" x14ac:dyDescent="0.3">
      <c r="A414">
        <v>1239</v>
      </c>
      <c r="B414" t="s">
        <v>104</v>
      </c>
      <c r="C414" t="s">
        <v>34</v>
      </c>
      <c r="D414">
        <v>41</v>
      </c>
      <c r="E414" t="s">
        <v>112</v>
      </c>
      <c r="F414" t="s">
        <v>36</v>
      </c>
      <c r="G414" t="s">
        <v>115</v>
      </c>
      <c r="H414" t="s">
        <v>106</v>
      </c>
      <c r="I414" t="s">
        <v>76</v>
      </c>
      <c r="J414" t="s">
        <v>87</v>
      </c>
      <c r="K414" t="s">
        <v>299</v>
      </c>
      <c r="L414" t="s">
        <v>71</v>
      </c>
      <c r="M414" t="s">
        <v>51</v>
      </c>
      <c r="N414" t="s">
        <v>31</v>
      </c>
      <c r="O414">
        <v>5</v>
      </c>
      <c r="P414" t="s">
        <v>32</v>
      </c>
      <c r="Q414">
        <v>12</v>
      </c>
      <c r="R414">
        <v>221699</v>
      </c>
      <c r="S414">
        <v>936000</v>
      </c>
      <c r="T414" s="3">
        <v>5914301</v>
      </c>
    </row>
    <row r="415" spans="1:20" x14ac:dyDescent="0.3">
      <c r="A415">
        <v>1212</v>
      </c>
      <c r="B415" t="s">
        <v>95</v>
      </c>
      <c r="C415" t="s">
        <v>34</v>
      </c>
      <c r="D415">
        <v>51</v>
      </c>
      <c r="E415" t="s">
        <v>46</v>
      </c>
      <c r="F415" t="s">
        <v>36</v>
      </c>
      <c r="G415" t="s">
        <v>24</v>
      </c>
      <c r="H415" t="s">
        <v>25</v>
      </c>
      <c r="I415" t="s">
        <v>97</v>
      </c>
      <c r="J415" t="s">
        <v>49</v>
      </c>
      <c r="K415" t="s">
        <v>173</v>
      </c>
      <c r="L415" t="s">
        <v>66</v>
      </c>
      <c r="M415" t="s">
        <v>30</v>
      </c>
      <c r="N415" t="s">
        <v>52</v>
      </c>
      <c r="O415">
        <v>3</v>
      </c>
      <c r="P415" t="s">
        <v>53</v>
      </c>
      <c r="Q415">
        <v>8</v>
      </c>
      <c r="R415">
        <v>281999</v>
      </c>
      <c r="S415">
        <v>5760000</v>
      </c>
      <c r="T415" s="3">
        <v>37478001</v>
      </c>
    </row>
    <row r="416" spans="1:20" x14ac:dyDescent="0.3">
      <c r="A416">
        <v>1047</v>
      </c>
      <c r="B416" t="s">
        <v>20</v>
      </c>
      <c r="C416" t="s">
        <v>21</v>
      </c>
      <c r="D416">
        <v>32</v>
      </c>
      <c r="E416" t="s">
        <v>22</v>
      </c>
      <c r="F416" t="s">
        <v>55</v>
      </c>
      <c r="G416" t="s">
        <v>115</v>
      </c>
      <c r="H416" t="s">
        <v>106</v>
      </c>
      <c r="I416" t="s">
        <v>39</v>
      </c>
      <c r="J416" t="s">
        <v>87</v>
      </c>
      <c r="K416" t="s">
        <v>134</v>
      </c>
      <c r="L416" t="s">
        <v>66</v>
      </c>
      <c r="M416" t="s">
        <v>30</v>
      </c>
      <c r="N416" t="s">
        <v>31</v>
      </c>
      <c r="O416">
        <v>3</v>
      </c>
      <c r="P416" t="s">
        <v>86</v>
      </c>
      <c r="Q416">
        <v>7</v>
      </c>
      <c r="R416">
        <v>224366</v>
      </c>
      <c r="S416">
        <v>756000</v>
      </c>
      <c r="T416" s="3">
        <v>4731634</v>
      </c>
    </row>
    <row r="417" spans="1:20" x14ac:dyDescent="0.3">
      <c r="A417">
        <v>1240</v>
      </c>
      <c r="B417" t="s">
        <v>20</v>
      </c>
      <c r="C417" t="s">
        <v>21</v>
      </c>
      <c r="D417">
        <v>47</v>
      </c>
      <c r="E417" t="s">
        <v>118</v>
      </c>
      <c r="F417" t="s">
        <v>55</v>
      </c>
      <c r="G417" t="s">
        <v>47</v>
      </c>
      <c r="H417" t="s">
        <v>25</v>
      </c>
      <c r="I417" t="s">
        <v>39</v>
      </c>
      <c r="J417" t="s">
        <v>87</v>
      </c>
      <c r="K417" t="s">
        <v>88</v>
      </c>
      <c r="L417" t="s">
        <v>42</v>
      </c>
      <c r="M417" t="s">
        <v>51</v>
      </c>
      <c r="N417" t="s">
        <v>31</v>
      </c>
      <c r="O417">
        <v>2</v>
      </c>
      <c r="P417" t="s">
        <v>86</v>
      </c>
      <c r="Q417">
        <v>19</v>
      </c>
      <c r="R417">
        <v>221274</v>
      </c>
      <c r="S417">
        <v>1350000</v>
      </c>
      <c r="T417" s="3">
        <v>8628726</v>
      </c>
    </row>
    <row r="418" spans="1:20" x14ac:dyDescent="0.3">
      <c r="A418">
        <v>1381</v>
      </c>
      <c r="B418" t="s">
        <v>95</v>
      </c>
      <c r="C418" t="s">
        <v>34</v>
      </c>
      <c r="D418">
        <v>29</v>
      </c>
      <c r="E418" t="s">
        <v>68</v>
      </c>
      <c r="F418" t="s">
        <v>55</v>
      </c>
      <c r="G418" t="s">
        <v>105</v>
      </c>
      <c r="H418" t="s">
        <v>106</v>
      </c>
      <c r="I418" t="s">
        <v>76</v>
      </c>
      <c r="J418" t="s">
        <v>49</v>
      </c>
      <c r="K418" t="s">
        <v>262</v>
      </c>
      <c r="L418" t="s">
        <v>59</v>
      </c>
      <c r="M418" t="s">
        <v>78</v>
      </c>
      <c r="N418" t="s">
        <v>52</v>
      </c>
      <c r="O418">
        <v>2</v>
      </c>
      <c r="P418" t="s">
        <v>86</v>
      </c>
      <c r="Q418">
        <v>5</v>
      </c>
      <c r="R418">
        <v>152323</v>
      </c>
      <c r="S418">
        <v>846000</v>
      </c>
      <c r="T418" s="3">
        <v>5393677</v>
      </c>
    </row>
    <row r="419" spans="1:20" x14ac:dyDescent="0.3">
      <c r="A419">
        <v>1008</v>
      </c>
      <c r="B419" t="s">
        <v>79</v>
      </c>
      <c r="C419" t="s">
        <v>21</v>
      </c>
      <c r="D419">
        <v>50</v>
      </c>
      <c r="E419" t="s">
        <v>35</v>
      </c>
      <c r="F419" t="s">
        <v>55</v>
      </c>
      <c r="G419" t="s">
        <v>37</v>
      </c>
      <c r="H419" t="s">
        <v>38</v>
      </c>
      <c r="I419" t="s">
        <v>39</v>
      </c>
      <c r="J419" t="s">
        <v>27</v>
      </c>
      <c r="K419" t="s">
        <v>80</v>
      </c>
      <c r="L419" t="s">
        <v>42</v>
      </c>
      <c r="M419" t="s">
        <v>78</v>
      </c>
      <c r="N419" t="s">
        <v>31</v>
      </c>
      <c r="O419">
        <v>5</v>
      </c>
      <c r="P419" t="s">
        <v>53</v>
      </c>
      <c r="Q419">
        <v>23</v>
      </c>
      <c r="R419">
        <v>267390</v>
      </c>
      <c r="S419">
        <v>1764000</v>
      </c>
      <c r="T419" s="3">
        <v>11296610</v>
      </c>
    </row>
    <row r="420" spans="1:20" x14ac:dyDescent="0.3">
      <c r="A420">
        <v>1391</v>
      </c>
      <c r="B420" t="s">
        <v>108</v>
      </c>
      <c r="C420" t="s">
        <v>21</v>
      </c>
      <c r="D420">
        <v>40</v>
      </c>
      <c r="E420" t="s">
        <v>73</v>
      </c>
      <c r="F420" t="s">
        <v>36</v>
      </c>
      <c r="G420" t="s">
        <v>47</v>
      </c>
      <c r="H420" t="s">
        <v>25</v>
      </c>
      <c r="I420" t="s">
        <v>76</v>
      </c>
      <c r="J420" t="s">
        <v>87</v>
      </c>
      <c r="K420" t="s">
        <v>402</v>
      </c>
      <c r="L420" t="s">
        <v>66</v>
      </c>
      <c r="M420" t="s">
        <v>30</v>
      </c>
      <c r="N420" t="s">
        <v>31</v>
      </c>
      <c r="O420">
        <v>4</v>
      </c>
      <c r="P420" t="s">
        <v>32</v>
      </c>
      <c r="Q420">
        <v>19</v>
      </c>
      <c r="R420">
        <v>278356</v>
      </c>
      <c r="S420">
        <v>1224000</v>
      </c>
      <c r="T420" s="3">
        <v>7745644</v>
      </c>
    </row>
    <row r="421" spans="1:20" x14ac:dyDescent="0.3">
      <c r="A421">
        <v>1331</v>
      </c>
      <c r="B421" t="s">
        <v>81</v>
      </c>
      <c r="C421" t="s">
        <v>21</v>
      </c>
      <c r="D421">
        <v>40</v>
      </c>
      <c r="E421" t="s">
        <v>22</v>
      </c>
      <c r="F421" t="s">
        <v>36</v>
      </c>
      <c r="G421" t="s">
        <v>74</v>
      </c>
      <c r="H421" t="s">
        <v>75</v>
      </c>
      <c r="I421" t="s">
        <v>39</v>
      </c>
      <c r="J421" t="s">
        <v>40</v>
      </c>
      <c r="K421" t="s">
        <v>371</v>
      </c>
      <c r="L421" t="s">
        <v>59</v>
      </c>
      <c r="M421" t="s">
        <v>94</v>
      </c>
      <c r="N421" t="s">
        <v>52</v>
      </c>
      <c r="O421">
        <v>4</v>
      </c>
      <c r="P421" t="s">
        <v>44</v>
      </c>
      <c r="Q421">
        <v>25</v>
      </c>
      <c r="R421">
        <v>265664</v>
      </c>
      <c r="S421">
        <v>756000</v>
      </c>
      <c r="T421" s="3">
        <v>4690336</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01"/>
  <sheetViews>
    <sheetView topLeftCell="N1" zoomScaleNormal="100" workbookViewId="0">
      <selection activeCell="R1" sqref="R1:R1048576"/>
    </sheetView>
  </sheetViews>
  <sheetFormatPr defaultRowHeight="14.4" x14ac:dyDescent="0.3"/>
  <cols>
    <col min="1" max="1" width="9.109375"/>
    <col min="2" max="2" width="14.5546875" customWidth="1"/>
    <col min="6" max="6" width="10.88671875" customWidth="1"/>
    <col min="9" max="9" width="12" customWidth="1"/>
    <col min="10" max="10" width="17.109375" customWidth="1"/>
    <col min="11" max="11" width="13" style="2" customWidth="1"/>
    <col min="12" max="12" width="12.88671875" customWidth="1"/>
    <col min="13" max="13" width="11.88671875" customWidth="1"/>
    <col min="16" max="16" width="18.33203125" customWidth="1"/>
    <col min="17" max="17" width="13.6640625" customWidth="1"/>
    <col min="18" max="18" width="14.109375" style="15" bestFit="1" customWidth="1"/>
    <col min="19" max="19" width="15.6640625" style="15" bestFit="1" customWidth="1"/>
    <col min="20" max="20" width="17" style="16" customWidth="1"/>
    <col min="21" max="21" width="16.6640625" customWidth="1"/>
    <col min="22" max="22" width="18.44140625" customWidth="1"/>
  </cols>
  <sheetData>
    <row r="1" spans="1:22" x14ac:dyDescent="0.3">
      <c r="A1" t="s">
        <v>0</v>
      </c>
      <c r="B1" t="s">
        <v>1</v>
      </c>
      <c r="C1" t="s">
        <v>2</v>
      </c>
      <c r="D1" t="s">
        <v>3</v>
      </c>
      <c r="E1" t="s">
        <v>4</v>
      </c>
      <c r="F1" t="s">
        <v>5</v>
      </c>
      <c r="G1" t="s">
        <v>6</v>
      </c>
      <c r="H1" t="s">
        <v>7</v>
      </c>
      <c r="I1" t="s">
        <v>8</v>
      </c>
      <c r="J1" t="s">
        <v>9</v>
      </c>
      <c r="K1" s="2" t="s">
        <v>10</v>
      </c>
      <c r="L1" t="s">
        <v>11</v>
      </c>
      <c r="M1" t="s">
        <v>12</v>
      </c>
      <c r="N1" t="s">
        <v>13</v>
      </c>
      <c r="O1" t="s">
        <v>14</v>
      </c>
      <c r="P1" t="s">
        <v>15</v>
      </c>
      <c r="Q1" t="s">
        <v>16</v>
      </c>
      <c r="R1" s="15" t="s">
        <v>17</v>
      </c>
      <c r="S1" s="15" t="s">
        <v>18</v>
      </c>
      <c r="T1" s="16" t="s">
        <v>19</v>
      </c>
      <c r="U1" s="1" t="s">
        <v>442</v>
      </c>
      <c r="V1" s="1" t="s">
        <v>446</v>
      </c>
    </row>
    <row r="2" spans="1:22" x14ac:dyDescent="0.3">
      <c r="A2">
        <v>1001</v>
      </c>
      <c r="B2" t="s">
        <v>20</v>
      </c>
      <c r="C2" t="s">
        <v>21</v>
      </c>
      <c r="D2">
        <v>52</v>
      </c>
      <c r="E2" t="s">
        <v>22</v>
      </c>
      <c r="F2" t="s">
        <v>23</v>
      </c>
      <c r="G2" t="s">
        <v>24</v>
      </c>
      <c r="H2" t="s">
        <v>25</v>
      </c>
      <c r="I2" t="s">
        <v>26</v>
      </c>
      <c r="J2" t="s">
        <v>27</v>
      </c>
      <c r="K2" s="2" t="s">
        <v>28</v>
      </c>
      <c r="L2" t="s">
        <v>29</v>
      </c>
      <c r="M2" t="s">
        <v>30</v>
      </c>
      <c r="N2" t="s">
        <v>31</v>
      </c>
      <c r="O2">
        <v>4</v>
      </c>
      <c r="P2" t="s">
        <v>32</v>
      </c>
      <c r="Q2">
        <v>24</v>
      </c>
      <c r="R2" s="15">
        <v>291256</v>
      </c>
      <c r="S2" s="15">
        <v>756000</v>
      </c>
      <c r="T2" s="16">
        <v>4664744</v>
      </c>
      <c r="U2" t="str">
        <f>IF(OR(E2="AMG C43",E2="AMG G63"),"yes","no")</f>
        <v>no</v>
      </c>
      <c r="V2" t="str">
        <f>IF(T2&gt;=20000000,"ultra premium",IF(T2&gt;=10000000,"premium",IF(T2&gt;=4500000,"standard","budget")))</f>
        <v>standard</v>
      </c>
    </row>
    <row r="3" spans="1:22" x14ac:dyDescent="0.3">
      <c r="A3">
        <v>1002</v>
      </c>
      <c r="B3" t="s">
        <v>33</v>
      </c>
      <c r="C3" t="s">
        <v>34</v>
      </c>
      <c r="D3">
        <v>50</v>
      </c>
      <c r="E3" t="s">
        <v>35</v>
      </c>
      <c r="F3" t="s">
        <v>36</v>
      </c>
      <c r="G3" t="s">
        <v>37</v>
      </c>
      <c r="H3" t="s">
        <v>38</v>
      </c>
      <c r="I3" t="s">
        <v>39</v>
      </c>
      <c r="J3" t="s">
        <v>40</v>
      </c>
      <c r="K3" s="2" t="s">
        <v>41</v>
      </c>
      <c r="L3" t="s">
        <v>42</v>
      </c>
      <c r="M3" t="s">
        <v>43</v>
      </c>
      <c r="N3" t="s">
        <v>31</v>
      </c>
      <c r="O3">
        <v>3</v>
      </c>
      <c r="P3" t="s">
        <v>44</v>
      </c>
      <c r="Q3">
        <v>21</v>
      </c>
      <c r="R3" s="15">
        <v>94767</v>
      </c>
      <c r="S3" s="15">
        <v>1764000</v>
      </c>
      <c r="T3" s="16">
        <v>11469233</v>
      </c>
      <c r="U3" t="str">
        <f t="shared" ref="U3:U66" si="0">IF(OR(E3="AMG C43",E3="AMG G63"),"yes","no")</f>
        <v>yes</v>
      </c>
      <c r="V3" t="str">
        <f t="shared" ref="V3:V66" si="1">IF(T3&gt;=20000000,"ultra premium",IF(T3&gt;=10000000,"premium",IF(T3&gt;=4500000,"standard","budget")))</f>
        <v>premium</v>
      </c>
    </row>
    <row r="4" spans="1:22" x14ac:dyDescent="0.3">
      <c r="A4">
        <v>1003</v>
      </c>
      <c r="B4" t="s">
        <v>45</v>
      </c>
      <c r="C4" t="s">
        <v>34</v>
      </c>
      <c r="D4">
        <v>60</v>
      </c>
      <c r="E4" t="s">
        <v>46</v>
      </c>
      <c r="F4" t="s">
        <v>36</v>
      </c>
      <c r="G4" t="s">
        <v>47</v>
      </c>
      <c r="H4" t="s">
        <v>25</v>
      </c>
      <c r="I4" t="s">
        <v>48</v>
      </c>
      <c r="J4" t="s">
        <v>49</v>
      </c>
      <c r="K4" s="2" t="s">
        <v>50</v>
      </c>
      <c r="L4" t="s">
        <v>42</v>
      </c>
      <c r="M4" t="s">
        <v>51</v>
      </c>
      <c r="N4" t="s">
        <v>52</v>
      </c>
      <c r="O4">
        <v>3</v>
      </c>
      <c r="P4" t="s">
        <v>53</v>
      </c>
      <c r="Q4">
        <v>14</v>
      </c>
      <c r="R4" s="15">
        <v>284831</v>
      </c>
      <c r="S4" s="15">
        <v>5760000</v>
      </c>
      <c r="T4" s="16">
        <v>37475169</v>
      </c>
      <c r="U4" t="str">
        <f t="shared" si="0"/>
        <v>yes</v>
      </c>
      <c r="V4" t="str">
        <f t="shared" si="1"/>
        <v>ultra premium</v>
      </c>
    </row>
    <row r="5" spans="1:22" x14ac:dyDescent="0.3">
      <c r="A5">
        <v>1004</v>
      </c>
      <c r="B5" t="s">
        <v>54</v>
      </c>
      <c r="C5" t="s">
        <v>34</v>
      </c>
      <c r="D5">
        <v>29</v>
      </c>
      <c r="E5" t="s">
        <v>22</v>
      </c>
      <c r="F5" t="s">
        <v>55</v>
      </c>
      <c r="G5" t="s">
        <v>56</v>
      </c>
      <c r="H5" t="s">
        <v>57</v>
      </c>
      <c r="I5" t="s">
        <v>26</v>
      </c>
      <c r="J5" t="s">
        <v>49</v>
      </c>
      <c r="K5" s="2" t="s">
        <v>58</v>
      </c>
      <c r="L5" t="s">
        <v>59</v>
      </c>
      <c r="M5" t="s">
        <v>43</v>
      </c>
      <c r="N5" t="s">
        <v>52</v>
      </c>
      <c r="O5">
        <v>3</v>
      </c>
      <c r="P5" t="s">
        <v>32</v>
      </c>
      <c r="Q5">
        <v>12</v>
      </c>
      <c r="R5" s="15">
        <v>251959</v>
      </c>
      <c r="S5" s="15">
        <v>756000</v>
      </c>
      <c r="T5" s="16">
        <v>4704041</v>
      </c>
      <c r="U5" t="str">
        <f t="shared" si="0"/>
        <v>no</v>
      </c>
      <c r="V5" t="str">
        <f t="shared" si="1"/>
        <v>standard</v>
      </c>
    </row>
    <row r="6" spans="1:22" x14ac:dyDescent="0.3">
      <c r="A6">
        <v>1005</v>
      </c>
      <c r="B6" t="s">
        <v>60</v>
      </c>
      <c r="C6" t="s">
        <v>34</v>
      </c>
      <c r="D6">
        <v>51</v>
      </c>
      <c r="E6" t="s">
        <v>61</v>
      </c>
      <c r="F6" t="s">
        <v>62</v>
      </c>
      <c r="G6" t="s">
        <v>63</v>
      </c>
      <c r="H6" t="s">
        <v>64</v>
      </c>
      <c r="I6" t="s">
        <v>48</v>
      </c>
      <c r="J6" t="s">
        <v>40</v>
      </c>
      <c r="K6" s="2" t="s">
        <v>65</v>
      </c>
      <c r="L6" t="s">
        <v>66</v>
      </c>
      <c r="M6" t="s">
        <v>43</v>
      </c>
      <c r="N6" t="s">
        <v>31</v>
      </c>
      <c r="O6">
        <v>5</v>
      </c>
      <c r="P6" t="s">
        <v>53</v>
      </c>
      <c r="Q6">
        <v>22</v>
      </c>
      <c r="R6" s="15">
        <v>58726</v>
      </c>
      <c r="S6" s="15">
        <v>2250000</v>
      </c>
      <c r="T6" s="16">
        <v>14691274</v>
      </c>
      <c r="U6" t="str">
        <f t="shared" si="0"/>
        <v>no</v>
      </c>
      <c r="V6" t="str">
        <f t="shared" si="1"/>
        <v>premium</v>
      </c>
    </row>
    <row r="7" spans="1:22" x14ac:dyDescent="0.3">
      <c r="A7">
        <v>1006</v>
      </c>
      <c r="B7" t="s">
        <v>67</v>
      </c>
      <c r="C7" t="s">
        <v>34</v>
      </c>
      <c r="D7">
        <v>39</v>
      </c>
      <c r="E7" t="s">
        <v>68</v>
      </c>
      <c r="F7" t="s">
        <v>36</v>
      </c>
      <c r="G7" t="s">
        <v>69</v>
      </c>
      <c r="H7" t="s">
        <v>69</v>
      </c>
      <c r="I7" t="s">
        <v>39</v>
      </c>
      <c r="J7" t="s">
        <v>27</v>
      </c>
      <c r="K7" s="2" t="s">
        <v>70</v>
      </c>
      <c r="L7" t="s">
        <v>71</v>
      </c>
      <c r="M7" t="s">
        <v>51</v>
      </c>
      <c r="N7" t="s">
        <v>52</v>
      </c>
      <c r="O7">
        <v>4</v>
      </c>
      <c r="P7" t="s">
        <v>44</v>
      </c>
      <c r="Q7">
        <v>12</v>
      </c>
      <c r="R7" s="15">
        <v>231295</v>
      </c>
      <c r="S7" s="15">
        <v>846000</v>
      </c>
      <c r="T7" s="16">
        <v>5314705</v>
      </c>
      <c r="U7" t="str">
        <f t="shared" si="0"/>
        <v>no</v>
      </c>
      <c r="V7" t="str">
        <f t="shared" si="1"/>
        <v>standard</v>
      </c>
    </row>
    <row r="8" spans="1:22" x14ac:dyDescent="0.3">
      <c r="A8">
        <v>1007</v>
      </c>
      <c r="B8" t="s">
        <v>72</v>
      </c>
      <c r="C8" t="s">
        <v>34</v>
      </c>
      <c r="D8">
        <v>33</v>
      </c>
      <c r="E8" t="s">
        <v>73</v>
      </c>
      <c r="F8" t="s">
        <v>55</v>
      </c>
      <c r="G8" t="s">
        <v>74</v>
      </c>
      <c r="H8" t="s">
        <v>75</v>
      </c>
      <c r="I8" t="s">
        <v>76</v>
      </c>
      <c r="J8" t="s">
        <v>27</v>
      </c>
      <c r="K8" s="2" t="s">
        <v>77</v>
      </c>
      <c r="L8" t="s">
        <v>59</v>
      </c>
      <c r="M8" t="s">
        <v>78</v>
      </c>
      <c r="N8" t="s">
        <v>52</v>
      </c>
      <c r="O8">
        <v>5</v>
      </c>
      <c r="P8" t="s">
        <v>44</v>
      </c>
      <c r="Q8">
        <v>6</v>
      </c>
      <c r="R8" s="15">
        <v>281298</v>
      </c>
      <c r="S8" s="15">
        <v>1224000</v>
      </c>
      <c r="T8" s="16">
        <v>7742702</v>
      </c>
      <c r="U8" t="str">
        <f t="shared" si="0"/>
        <v>no</v>
      </c>
      <c r="V8" t="str">
        <f t="shared" si="1"/>
        <v>standard</v>
      </c>
    </row>
    <row r="9" spans="1:22" x14ac:dyDescent="0.3">
      <c r="A9">
        <v>1008</v>
      </c>
      <c r="B9" t="s">
        <v>79</v>
      </c>
      <c r="C9" t="s">
        <v>21</v>
      </c>
      <c r="D9">
        <v>50</v>
      </c>
      <c r="E9" t="s">
        <v>35</v>
      </c>
      <c r="F9" t="s">
        <v>55</v>
      </c>
      <c r="G9" t="s">
        <v>37</v>
      </c>
      <c r="H9" t="s">
        <v>38</v>
      </c>
      <c r="I9" t="s">
        <v>39</v>
      </c>
      <c r="J9" t="s">
        <v>27</v>
      </c>
      <c r="K9" s="2" t="s">
        <v>80</v>
      </c>
      <c r="L9" t="s">
        <v>42</v>
      </c>
      <c r="M9" t="s">
        <v>78</v>
      </c>
      <c r="N9" t="s">
        <v>31</v>
      </c>
      <c r="O9">
        <v>5</v>
      </c>
      <c r="P9" t="s">
        <v>53</v>
      </c>
      <c r="Q9">
        <v>23</v>
      </c>
      <c r="R9" s="15">
        <v>267390</v>
      </c>
      <c r="S9" s="15">
        <v>1764000</v>
      </c>
      <c r="T9" s="16">
        <v>11296610</v>
      </c>
      <c r="U9" t="str">
        <f t="shared" si="0"/>
        <v>yes</v>
      </c>
      <c r="V9" t="str">
        <f t="shared" si="1"/>
        <v>premium</v>
      </c>
    </row>
    <row r="10" spans="1:22" x14ac:dyDescent="0.3">
      <c r="A10">
        <v>1009</v>
      </c>
      <c r="B10" t="s">
        <v>81</v>
      </c>
      <c r="C10" t="s">
        <v>34</v>
      </c>
      <c r="D10">
        <v>54</v>
      </c>
      <c r="E10" t="s">
        <v>82</v>
      </c>
      <c r="F10" t="s">
        <v>23</v>
      </c>
      <c r="G10" t="s">
        <v>37</v>
      </c>
      <c r="H10" t="s">
        <v>38</v>
      </c>
      <c r="I10" t="s">
        <v>76</v>
      </c>
      <c r="J10" t="s">
        <v>27</v>
      </c>
      <c r="K10" s="2" t="s">
        <v>83</v>
      </c>
      <c r="L10" t="s">
        <v>29</v>
      </c>
      <c r="M10" t="s">
        <v>30</v>
      </c>
      <c r="N10" t="s">
        <v>52</v>
      </c>
      <c r="O10">
        <v>4</v>
      </c>
      <c r="P10" t="s">
        <v>32</v>
      </c>
      <c r="Q10">
        <v>16</v>
      </c>
      <c r="R10" s="15">
        <v>251721</v>
      </c>
      <c r="S10" s="15">
        <v>1098000</v>
      </c>
      <c r="T10" s="16">
        <v>6946279</v>
      </c>
      <c r="U10" t="str">
        <f t="shared" si="0"/>
        <v>no</v>
      </c>
      <c r="V10" t="str">
        <f t="shared" si="1"/>
        <v>standard</v>
      </c>
    </row>
    <row r="11" spans="1:22" x14ac:dyDescent="0.3">
      <c r="A11">
        <v>1010</v>
      </c>
      <c r="B11" t="s">
        <v>60</v>
      </c>
      <c r="C11" t="s">
        <v>21</v>
      </c>
      <c r="D11">
        <v>56</v>
      </c>
      <c r="E11" t="s">
        <v>22</v>
      </c>
      <c r="F11" t="s">
        <v>23</v>
      </c>
      <c r="G11" t="s">
        <v>63</v>
      </c>
      <c r="H11" t="s">
        <v>64</v>
      </c>
      <c r="I11" t="s">
        <v>26</v>
      </c>
      <c r="J11" t="s">
        <v>27</v>
      </c>
      <c r="K11" s="2" t="s">
        <v>84</v>
      </c>
      <c r="L11" t="s">
        <v>42</v>
      </c>
      <c r="M11" t="s">
        <v>78</v>
      </c>
      <c r="N11" t="s">
        <v>31</v>
      </c>
      <c r="O11">
        <v>3</v>
      </c>
      <c r="P11" t="s">
        <v>32</v>
      </c>
      <c r="Q11">
        <v>18</v>
      </c>
      <c r="R11" s="15">
        <v>235444</v>
      </c>
      <c r="S11" s="15">
        <v>756000</v>
      </c>
      <c r="T11" s="16">
        <v>4720556</v>
      </c>
      <c r="U11" t="str">
        <f t="shared" si="0"/>
        <v>no</v>
      </c>
      <c r="V11" t="str">
        <f t="shared" si="1"/>
        <v>standard</v>
      </c>
    </row>
    <row r="12" spans="1:22" x14ac:dyDescent="0.3">
      <c r="A12">
        <v>1011</v>
      </c>
      <c r="B12" t="s">
        <v>81</v>
      </c>
      <c r="C12" t="s">
        <v>21</v>
      </c>
      <c r="D12">
        <v>51</v>
      </c>
      <c r="E12" t="s">
        <v>61</v>
      </c>
      <c r="F12" t="s">
        <v>55</v>
      </c>
      <c r="G12" t="s">
        <v>74</v>
      </c>
      <c r="H12" t="s">
        <v>75</v>
      </c>
      <c r="I12" t="s">
        <v>48</v>
      </c>
      <c r="J12" t="s">
        <v>40</v>
      </c>
      <c r="K12" s="2" t="s">
        <v>85</v>
      </c>
      <c r="L12" t="s">
        <v>42</v>
      </c>
      <c r="M12" t="s">
        <v>51</v>
      </c>
      <c r="N12" t="s">
        <v>31</v>
      </c>
      <c r="O12">
        <v>4</v>
      </c>
      <c r="P12" t="s">
        <v>86</v>
      </c>
      <c r="Q12">
        <v>19</v>
      </c>
      <c r="R12" s="15">
        <v>164128</v>
      </c>
      <c r="S12" s="15">
        <v>2250000</v>
      </c>
      <c r="T12" s="16">
        <v>14585872</v>
      </c>
      <c r="U12" t="str">
        <f t="shared" si="0"/>
        <v>no</v>
      </c>
      <c r="V12" t="str">
        <f t="shared" si="1"/>
        <v>premium</v>
      </c>
    </row>
    <row r="13" spans="1:22" x14ac:dyDescent="0.3">
      <c r="A13">
        <v>1012</v>
      </c>
      <c r="B13" t="s">
        <v>81</v>
      </c>
      <c r="C13" t="s">
        <v>34</v>
      </c>
      <c r="D13">
        <v>45</v>
      </c>
      <c r="E13" t="s">
        <v>46</v>
      </c>
      <c r="F13" t="s">
        <v>62</v>
      </c>
      <c r="G13" t="s">
        <v>56</v>
      </c>
      <c r="H13" t="s">
        <v>57</v>
      </c>
      <c r="I13" t="s">
        <v>76</v>
      </c>
      <c r="J13" t="s">
        <v>87</v>
      </c>
      <c r="K13" s="2" t="s">
        <v>88</v>
      </c>
      <c r="L13" t="s">
        <v>29</v>
      </c>
      <c r="M13" t="s">
        <v>78</v>
      </c>
      <c r="N13" t="s">
        <v>52</v>
      </c>
      <c r="O13">
        <v>3</v>
      </c>
      <c r="P13" t="s">
        <v>32</v>
      </c>
      <c r="Q13">
        <v>25</v>
      </c>
      <c r="R13" s="15">
        <v>105039</v>
      </c>
      <c r="S13" s="15">
        <v>5760000</v>
      </c>
      <c r="T13" s="16">
        <v>37654961</v>
      </c>
      <c r="U13" t="str">
        <f t="shared" si="0"/>
        <v>yes</v>
      </c>
      <c r="V13" t="str">
        <f t="shared" si="1"/>
        <v>ultra premium</v>
      </c>
    </row>
    <row r="14" spans="1:22" x14ac:dyDescent="0.3">
      <c r="A14">
        <v>1013</v>
      </c>
      <c r="B14" t="s">
        <v>67</v>
      </c>
      <c r="C14" t="s">
        <v>34</v>
      </c>
      <c r="D14">
        <v>37</v>
      </c>
      <c r="E14" t="s">
        <v>61</v>
      </c>
      <c r="F14" t="s">
        <v>23</v>
      </c>
      <c r="G14" t="s">
        <v>37</v>
      </c>
      <c r="H14" t="s">
        <v>38</v>
      </c>
      <c r="I14" t="s">
        <v>39</v>
      </c>
      <c r="J14" t="s">
        <v>40</v>
      </c>
      <c r="K14" s="2" t="s">
        <v>89</v>
      </c>
      <c r="L14" t="s">
        <v>59</v>
      </c>
      <c r="M14" t="s">
        <v>78</v>
      </c>
      <c r="N14" t="s">
        <v>52</v>
      </c>
      <c r="O14">
        <v>5</v>
      </c>
      <c r="P14" t="s">
        <v>86</v>
      </c>
      <c r="Q14">
        <v>16</v>
      </c>
      <c r="R14" s="15">
        <v>242961</v>
      </c>
      <c r="S14" s="15">
        <v>2250000</v>
      </c>
      <c r="T14" s="16">
        <v>14507039</v>
      </c>
      <c r="U14" t="str">
        <f t="shared" si="0"/>
        <v>no</v>
      </c>
      <c r="V14" t="str">
        <f t="shared" si="1"/>
        <v>premium</v>
      </c>
    </row>
    <row r="15" spans="1:22" x14ac:dyDescent="0.3">
      <c r="A15">
        <v>1014</v>
      </c>
      <c r="B15" t="s">
        <v>54</v>
      </c>
      <c r="C15" t="s">
        <v>34</v>
      </c>
      <c r="D15">
        <v>53</v>
      </c>
      <c r="E15" t="s">
        <v>90</v>
      </c>
      <c r="F15" t="s">
        <v>36</v>
      </c>
      <c r="G15" t="s">
        <v>91</v>
      </c>
      <c r="H15" t="s">
        <v>25</v>
      </c>
      <c r="I15" t="s">
        <v>26</v>
      </c>
      <c r="J15" t="s">
        <v>87</v>
      </c>
      <c r="K15" s="2" t="s">
        <v>92</v>
      </c>
      <c r="L15" t="s">
        <v>42</v>
      </c>
      <c r="M15" t="s">
        <v>51</v>
      </c>
      <c r="N15" t="s">
        <v>31</v>
      </c>
      <c r="O15">
        <v>3</v>
      </c>
      <c r="P15" t="s">
        <v>32</v>
      </c>
      <c r="Q15">
        <v>5</v>
      </c>
      <c r="R15" s="15">
        <v>89961</v>
      </c>
      <c r="S15" s="15">
        <v>702000</v>
      </c>
      <c r="T15" s="16">
        <v>4512039</v>
      </c>
      <c r="U15" t="str">
        <f t="shared" si="0"/>
        <v>no</v>
      </c>
      <c r="V15" t="str">
        <f t="shared" si="1"/>
        <v>standard</v>
      </c>
    </row>
    <row r="16" spans="1:22" x14ac:dyDescent="0.3">
      <c r="A16">
        <v>1015</v>
      </c>
      <c r="B16" t="s">
        <v>79</v>
      </c>
      <c r="C16" t="s">
        <v>34</v>
      </c>
      <c r="D16">
        <v>46</v>
      </c>
      <c r="E16" t="s">
        <v>82</v>
      </c>
      <c r="F16" t="s">
        <v>55</v>
      </c>
      <c r="G16" t="s">
        <v>37</v>
      </c>
      <c r="H16" t="s">
        <v>38</v>
      </c>
      <c r="I16" t="s">
        <v>48</v>
      </c>
      <c r="J16" t="s">
        <v>40</v>
      </c>
      <c r="K16" s="2" t="s">
        <v>84</v>
      </c>
      <c r="L16" t="s">
        <v>66</v>
      </c>
      <c r="M16" t="s">
        <v>51</v>
      </c>
      <c r="N16" t="s">
        <v>52</v>
      </c>
      <c r="O16">
        <v>3</v>
      </c>
      <c r="P16" t="s">
        <v>53</v>
      </c>
      <c r="Q16">
        <v>13</v>
      </c>
      <c r="R16" s="15">
        <v>107476</v>
      </c>
      <c r="S16" s="15">
        <v>1098000</v>
      </c>
      <c r="T16" s="16">
        <v>7090524</v>
      </c>
      <c r="U16" t="str">
        <f t="shared" si="0"/>
        <v>no</v>
      </c>
      <c r="V16" t="str">
        <f t="shared" si="1"/>
        <v>standard</v>
      </c>
    </row>
    <row r="17" spans="1:22" x14ac:dyDescent="0.3">
      <c r="A17">
        <v>1016</v>
      </c>
      <c r="B17" t="s">
        <v>60</v>
      </c>
      <c r="C17" t="s">
        <v>34</v>
      </c>
      <c r="D17">
        <v>44</v>
      </c>
      <c r="E17" t="s">
        <v>22</v>
      </c>
      <c r="F17" t="s">
        <v>55</v>
      </c>
      <c r="G17" t="s">
        <v>74</v>
      </c>
      <c r="H17" t="s">
        <v>75</v>
      </c>
      <c r="I17" t="s">
        <v>26</v>
      </c>
      <c r="J17" t="s">
        <v>49</v>
      </c>
      <c r="K17" s="2" t="s">
        <v>93</v>
      </c>
      <c r="L17" t="s">
        <v>42</v>
      </c>
      <c r="M17" t="s">
        <v>94</v>
      </c>
      <c r="N17" t="s">
        <v>52</v>
      </c>
      <c r="O17">
        <v>3</v>
      </c>
      <c r="P17" t="s">
        <v>86</v>
      </c>
      <c r="Q17">
        <v>16</v>
      </c>
      <c r="R17" s="15">
        <v>100257</v>
      </c>
      <c r="S17" s="15">
        <v>756000</v>
      </c>
      <c r="T17" s="16">
        <v>4855743</v>
      </c>
      <c r="U17" t="str">
        <f t="shared" si="0"/>
        <v>no</v>
      </c>
      <c r="V17" t="str">
        <f t="shared" si="1"/>
        <v>standard</v>
      </c>
    </row>
    <row r="18" spans="1:22" x14ac:dyDescent="0.3">
      <c r="A18">
        <v>1017</v>
      </c>
      <c r="B18" t="s">
        <v>95</v>
      </c>
      <c r="C18" t="s">
        <v>21</v>
      </c>
      <c r="D18">
        <v>42</v>
      </c>
      <c r="E18" t="s">
        <v>82</v>
      </c>
      <c r="F18" t="s">
        <v>62</v>
      </c>
      <c r="G18" t="s">
        <v>69</v>
      </c>
      <c r="H18" t="s">
        <v>69</v>
      </c>
      <c r="I18" t="s">
        <v>48</v>
      </c>
      <c r="J18" t="s">
        <v>27</v>
      </c>
      <c r="K18" s="2" t="s">
        <v>96</v>
      </c>
      <c r="L18" t="s">
        <v>66</v>
      </c>
      <c r="M18" t="s">
        <v>30</v>
      </c>
      <c r="N18" t="s">
        <v>31</v>
      </c>
      <c r="O18">
        <v>2</v>
      </c>
      <c r="P18" t="s">
        <v>53</v>
      </c>
      <c r="Q18">
        <v>18</v>
      </c>
      <c r="R18" s="15">
        <v>88063</v>
      </c>
      <c r="S18" s="15">
        <v>1098000</v>
      </c>
      <c r="T18" s="16">
        <v>7109937</v>
      </c>
      <c r="U18" t="str">
        <f t="shared" si="0"/>
        <v>no</v>
      </c>
      <c r="V18" t="str">
        <f t="shared" si="1"/>
        <v>standard</v>
      </c>
    </row>
    <row r="19" spans="1:22" x14ac:dyDescent="0.3">
      <c r="A19">
        <v>1018</v>
      </c>
      <c r="B19" t="s">
        <v>45</v>
      </c>
      <c r="C19" t="s">
        <v>34</v>
      </c>
      <c r="D19">
        <v>27</v>
      </c>
      <c r="E19" t="s">
        <v>90</v>
      </c>
      <c r="F19" t="s">
        <v>62</v>
      </c>
      <c r="G19" t="s">
        <v>69</v>
      </c>
      <c r="H19" t="s">
        <v>69</v>
      </c>
      <c r="I19" t="s">
        <v>97</v>
      </c>
      <c r="J19" t="s">
        <v>27</v>
      </c>
      <c r="K19" s="2" t="s">
        <v>98</v>
      </c>
      <c r="L19" t="s">
        <v>71</v>
      </c>
      <c r="M19" t="s">
        <v>94</v>
      </c>
      <c r="N19" t="s">
        <v>31</v>
      </c>
      <c r="O19">
        <v>5</v>
      </c>
      <c r="P19" t="s">
        <v>44</v>
      </c>
      <c r="Q19">
        <v>15</v>
      </c>
      <c r="R19" s="15">
        <v>68462</v>
      </c>
      <c r="S19" s="15">
        <v>702000</v>
      </c>
      <c r="T19" s="16">
        <v>4533538</v>
      </c>
      <c r="U19" t="str">
        <f t="shared" si="0"/>
        <v>no</v>
      </c>
      <c r="V19" t="str">
        <f t="shared" si="1"/>
        <v>standard</v>
      </c>
    </row>
    <row r="20" spans="1:22" x14ac:dyDescent="0.3">
      <c r="A20">
        <v>1019</v>
      </c>
      <c r="B20" t="s">
        <v>99</v>
      </c>
      <c r="C20" t="s">
        <v>34</v>
      </c>
      <c r="D20">
        <v>53</v>
      </c>
      <c r="E20" t="s">
        <v>61</v>
      </c>
      <c r="F20" t="s">
        <v>62</v>
      </c>
      <c r="G20" t="s">
        <v>24</v>
      </c>
      <c r="H20" t="s">
        <v>25</v>
      </c>
      <c r="I20" t="s">
        <v>39</v>
      </c>
      <c r="J20" t="s">
        <v>27</v>
      </c>
      <c r="K20" s="2" t="s">
        <v>100</v>
      </c>
      <c r="L20" t="s">
        <v>29</v>
      </c>
      <c r="M20" t="s">
        <v>43</v>
      </c>
      <c r="N20" t="s">
        <v>31</v>
      </c>
      <c r="O20">
        <v>2</v>
      </c>
      <c r="P20" t="s">
        <v>86</v>
      </c>
      <c r="Q20">
        <v>15</v>
      </c>
      <c r="R20" s="15">
        <v>157232</v>
      </c>
      <c r="S20" s="15">
        <v>2250000</v>
      </c>
      <c r="T20" s="16">
        <v>14592768</v>
      </c>
      <c r="U20" t="str">
        <f t="shared" si="0"/>
        <v>no</v>
      </c>
      <c r="V20" t="str">
        <f t="shared" si="1"/>
        <v>premium</v>
      </c>
    </row>
    <row r="21" spans="1:22" x14ac:dyDescent="0.3">
      <c r="A21">
        <v>1020</v>
      </c>
      <c r="B21" t="s">
        <v>101</v>
      </c>
      <c r="C21" t="s">
        <v>34</v>
      </c>
      <c r="D21">
        <v>36</v>
      </c>
      <c r="E21" t="s">
        <v>35</v>
      </c>
      <c r="F21" t="s">
        <v>62</v>
      </c>
      <c r="G21" t="s">
        <v>63</v>
      </c>
      <c r="H21" t="s">
        <v>64</v>
      </c>
      <c r="I21" t="s">
        <v>48</v>
      </c>
      <c r="J21" t="s">
        <v>87</v>
      </c>
      <c r="K21" s="2" t="s">
        <v>102</v>
      </c>
      <c r="L21" t="s">
        <v>42</v>
      </c>
      <c r="M21" t="s">
        <v>94</v>
      </c>
      <c r="N21" t="s">
        <v>52</v>
      </c>
      <c r="O21">
        <v>5</v>
      </c>
      <c r="P21" t="s">
        <v>44</v>
      </c>
      <c r="Q21">
        <v>8</v>
      </c>
      <c r="R21" s="15">
        <v>288545</v>
      </c>
      <c r="S21" s="15">
        <v>1764000</v>
      </c>
      <c r="T21" s="16">
        <v>11275455</v>
      </c>
      <c r="U21" t="str">
        <f t="shared" si="0"/>
        <v>yes</v>
      </c>
      <c r="V21" t="str">
        <f t="shared" si="1"/>
        <v>premium</v>
      </c>
    </row>
    <row r="22" spans="1:22" x14ac:dyDescent="0.3">
      <c r="A22">
        <v>1021</v>
      </c>
      <c r="B22" t="s">
        <v>72</v>
      </c>
      <c r="C22" t="s">
        <v>34</v>
      </c>
      <c r="D22">
        <v>42</v>
      </c>
      <c r="E22" t="s">
        <v>22</v>
      </c>
      <c r="F22" t="s">
        <v>23</v>
      </c>
      <c r="G22" t="s">
        <v>63</v>
      </c>
      <c r="H22" t="s">
        <v>64</v>
      </c>
      <c r="I22" t="s">
        <v>48</v>
      </c>
      <c r="J22" t="s">
        <v>49</v>
      </c>
      <c r="K22" s="2" t="s">
        <v>103</v>
      </c>
      <c r="L22" t="s">
        <v>59</v>
      </c>
      <c r="M22" t="s">
        <v>43</v>
      </c>
      <c r="N22" t="s">
        <v>52</v>
      </c>
      <c r="O22">
        <v>3</v>
      </c>
      <c r="P22" t="s">
        <v>53</v>
      </c>
      <c r="Q22">
        <v>20</v>
      </c>
      <c r="R22" s="15">
        <v>141395</v>
      </c>
      <c r="S22" s="15">
        <v>756000</v>
      </c>
      <c r="T22" s="16">
        <v>4814605</v>
      </c>
      <c r="U22" t="str">
        <f t="shared" si="0"/>
        <v>no</v>
      </c>
      <c r="V22" t="str">
        <f t="shared" si="1"/>
        <v>standard</v>
      </c>
    </row>
    <row r="23" spans="1:22" x14ac:dyDescent="0.3">
      <c r="A23">
        <v>1022</v>
      </c>
      <c r="B23" t="s">
        <v>104</v>
      </c>
      <c r="C23" t="s">
        <v>21</v>
      </c>
      <c r="D23">
        <v>51</v>
      </c>
      <c r="E23" t="s">
        <v>46</v>
      </c>
      <c r="F23" t="s">
        <v>36</v>
      </c>
      <c r="G23" t="s">
        <v>105</v>
      </c>
      <c r="H23" t="s">
        <v>106</v>
      </c>
      <c r="I23" t="s">
        <v>39</v>
      </c>
      <c r="J23" t="s">
        <v>40</v>
      </c>
      <c r="K23" s="2" t="s">
        <v>107</v>
      </c>
      <c r="L23" t="s">
        <v>59</v>
      </c>
      <c r="M23" t="s">
        <v>78</v>
      </c>
      <c r="N23" t="s">
        <v>31</v>
      </c>
      <c r="O23">
        <v>3</v>
      </c>
      <c r="P23" t="s">
        <v>53</v>
      </c>
      <c r="Q23">
        <v>9</v>
      </c>
      <c r="R23" s="15">
        <v>114057</v>
      </c>
      <c r="S23" s="15">
        <v>5760000</v>
      </c>
      <c r="T23" s="16">
        <v>37645943</v>
      </c>
      <c r="U23" t="str">
        <f t="shared" si="0"/>
        <v>yes</v>
      </c>
      <c r="V23" t="str">
        <f t="shared" si="1"/>
        <v>ultra premium</v>
      </c>
    </row>
    <row r="24" spans="1:22" x14ac:dyDescent="0.3">
      <c r="A24">
        <v>1023</v>
      </c>
      <c r="B24" t="s">
        <v>108</v>
      </c>
      <c r="C24" t="s">
        <v>34</v>
      </c>
      <c r="D24">
        <v>47</v>
      </c>
      <c r="E24" t="s">
        <v>46</v>
      </c>
      <c r="F24" t="s">
        <v>23</v>
      </c>
      <c r="G24" t="s">
        <v>47</v>
      </c>
      <c r="H24" t="s">
        <v>25</v>
      </c>
      <c r="I24" t="s">
        <v>48</v>
      </c>
      <c r="J24" t="s">
        <v>27</v>
      </c>
      <c r="K24" s="2" t="s">
        <v>109</v>
      </c>
      <c r="L24" t="s">
        <v>66</v>
      </c>
      <c r="M24" t="s">
        <v>94</v>
      </c>
      <c r="N24" t="s">
        <v>31</v>
      </c>
      <c r="O24">
        <v>3</v>
      </c>
      <c r="P24" t="s">
        <v>53</v>
      </c>
      <c r="Q24">
        <v>14</v>
      </c>
      <c r="R24" s="15">
        <v>271605</v>
      </c>
      <c r="S24" s="15">
        <v>5760000</v>
      </c>
      <c r="T24" s="16">
        <v>37488395</v>
      </c>
      <c r="U24" t="str">
        <f t="shared" si="0"/>
        <v>yes</v>
      </c>
      <c r="V24" t="str">
        <f t="shared" si="1"/>
        <v>ultra premium</v>
      </c>
    </row>
    <row r="25" spans="1:22" x14ac:dyDescent="0.3">
      <c r="A25">
        <v>1024</v>
      </c>
      <c r="B25" t="s">
        <v>54</v>
      </c>
      <c r="C25" t="s">
        <v>34</v>
      </c>
      <c r="D25">
        <v>27</v>
      </c>
      <c r="E25" t="s">
        <v>82</v>
      </c>
      <c r="F25" t="s">
        <v>23</v>
      </c>
      <c r="G25" t="s">
        <v>63</v>
      </c>
      <c r="H25" t="s">
        <v>64</v>
      </c>
      <c r="I25" t="s">
        <v>97</v>
      </c>
      <c r="J25" t="s">
        <v>27</v>
      </c>
      <c r="K25" s="2" t="s">
        <v>110</v>
      </c>
      <c r="L25" t="s">
        <v>71</v>
      </c>
      <c r="M25" t="s">
        <v>43</v>
      </c>
      <c r="N25" t="s">
        <v>31</v>
      </c>
      <c r="O25">
        <v>2</v>
      </c>
      <c r="P25" t="s">
        <v>53</v>
      </c>
      <c r="Q25">
        <v>24</v>
      </c>
      <c r="R25" s="15">
        <v>112956</v>
      </c>
      <c r="S25" s="15">
        <v>1098000</v>
      </c>
      <c r="T25" s="16">
        <v>7085044</v>
      </c>
      <c r="U25" t="str">
        <f t="shared" si="0"/>
        <v>no</v>
      </c>
      <c r="V25" t="str">
        <f t="shared" si="1"/>
        <v>standard</v>
      </c>
    </row>
    <row r="26" spans="1:22" x14ac:dyDescent="0.3">
      <c r="A26">
        <v>1025</v>
      </c>
      <c r="B26" t="s">
        <v>33</v>
      </c>
      <c r="C26" t="s">
        <v>34</v>
      </c>
      <c r="D26">
        <v>30</v>
      </c>
      <c r="E26" t="s">
        <v>46</v>
      </c>
      <c r="F26" t="s">
        <v>36</v>
      </c>
      <c r="G26" t="s">
        <v>105</v>
      </c>
      <c r="H26" t="s">
        <v>106</v>
      </c>
      <c r="I26" t="s">
        <v>76</v>
      </c>
      <c r="J26" t="s">
        <v>49</v>
      </c>
      <c r="K26" s="2" t="s">
        <v>111</v>
      </c>
      <c r="L26" t="s">
        <v>66</v>
      </c>
      <c r="M26" t="s">
        <v>78</v>
      </c>
      <c r="N26" t="s">
        <v>52</v>
      </c>
      <c r="O26">
        <v>4</v>
      </c>
      <c r="P26" t="s">
        <v>44</v>
      </c>
      <c r="Q26">
        <v>7</v>
      </c>
      <c r="R26" s="15">
        <v>81891</v>
      </c>
      <c r="S26" s="15">
        <v>5760000</v>
      </c>
      <c r="T26" s="16">
        <v>37678109</v>
      </c>
      <c r="U26" t="str">
        <f t="shared" si="0"/>
        <v>yes</v>
      </c>
      <c r="V26" t="str">
        <f t="shared" si="1"/>
        <v>ultra premium</v>
      </c>
    </row>
    <row r="27" spans="1:22" x14ac:dyDescent="0.3">
      <c r="A27">
        <v>1026</v>
      </c>
      <c r="B27" t="s">
        <v>95</v>
      </c>
      <c r="C27" t="s">
        <v>34</v>
      </c>
      <c r="D27">
        <v>50</v>
      </c>
      <c r="E27" t="s">
        <v>112</v>
      </c>
      <c r="F27" t="s">
        <v>55</v>
      </c>
      <c r="G27" t="s">
        <v>56</v>
      </c>
      <c r="H27" t="s">
        <v>57</v>
      </c>
      <c r="I27" t="s">
        <v>39</v>
      </c>
      <c r="J27" t="s">
        <v>40</v>
      </c>
      <c r="K27" s="2" t="s">
        <v>113</v>
      </c>
      <c r="L27" t="s">
        <v>29</v>
      </c>
      <c r="M27" t="s">
        <v>51</v>
      </c>
      <c r="N27" t="s">
        <v>31</v>
      </c>
      <c r="O27">
        <v>3</v>
      </c>
      <c r="P27" t="s">
        <v>53</v>
      </c>
      <c r="Q27">
        <v>15</v>
      </c>
      <c r="R27" s="15">
        <v>276004</v>
      </c>
      <c r="S27" s="15">
        <v>936000</v>
      </c>
      <c r="T27" s="16">
        <v>5859996</v>
      </c>
      <c r="U27" t="str">
        <f t="shared" si="0"/>
        <v>no</v>
      </c>
      <c r="V27" t="str">
        <f t="shared" si="1"/>
        <v>standard</v>
      </c>
    </row>
    <row r="28" spans="1:22" x14ac:dyDescent="0.3">
      <c r="A28">
        <v>1027</v>
      </c>
      <c r="B28" t="s">
        <v>54</v>
      </c>
      <c r="C28" t="s">
        <v>21</v>
      </c>
      <c r="D28">
        <v>29</v>
      </c>
      <c r="E28" t="s">
        <v>35</v>
      </c>
      <c r="F28" t="s">
        <v>36</v>
      </c>
      <c r="G28" t="s">
        <v>63</v>
      </c>
      <c r="H28" t="s">
        <v>64</v>
      </c>
      <c r="I28" t="s">
        <v>48</v>
      </c>
      <c r="J28" t="s">
        <v>27</v>
      </c>
      <c r="K28" s="2" t="s">
        <v>70</v>
      </c>
      <c r="L28" t="s">
        <v>71</v>
      </c>
      <c r="M28" t="s">
        <v>51</v>
      </c>
      <c r="N28" t="s">
        <v>31</v>
      </c>
      <c r="O28">
        <v>3</v>
      </c>
      <c r="P28" t="s">
        <v>44</v>
      </c>
      <c r="Q28">
        <v>24</v>
      </c>
      <c r="R28" s="15">
        <v>222134</v>
      </c>
      <c r="S28" s="15">
        <v>1764000</v>
      </c>
      <c r="T28" s="16">
        <v>11341866</v>
      </c>
      <c r="U28" t="str">
        <f>IF(OR(E28="AMG C43",E28="AMG G63"),"yes","no")</f>
        <v>yes</v>
      </c>
      <c r="V28" t="str">
        <f t="shared" si="1"/>
        <v>premium</v>
      </c>
    </row>
    <row r="29" spans="1:22" x14ac:dyDescent="0.3">
      <c r="A29">
        <v>1028</v>
      </c>
      <c r="B29" t="s">
        <v>114</v>
      </c>
      <c r="C29" t="s">
        <v>34</v>
      </c>
      <c r="D29">
        <v>50</v>
      </c>
      <c r="E29" t="s">
        <v>22</v>
      </c>
      <c r="F29" t="s">
        <v>62</v>
      </c>
      <c r="G29" t="s">
        <v>115</v>
      </c>
      <c r="H29" t="s">
        <v>106</v>
      </c>
      <c r="I29" t="s">
        <v>26</v>
      </c>
      <c r="J29" t="s">
        <v>40</v>
      </c>
      <c r="K29" s="2" t="s">
        <v>116</v>
      </c>
      <c r="L29" t="s">
        <v>29</v>
      </c>
      <c r="M29" t="s">
        <v>51</v>
      </c>
      <c r="N29" t="s">
        <v>31</v>
      </c>
      <c r="O29">
        <v>2</v>
      </c>
      <c r="P29" t="s">
        <v>44</v>
      </c>
      <c r="Q29">
        <v>15</v>
      </c>
      <c r="R29" s="15">
        <v>106965</v>
      </c>
      <c r="S29" s="15">
        <v>756000</v>
      </c>
      <c r="T29" s="16">
        <v>4849035</v>
      </c>
      <c r="U29" t="str">
        <f t="shared" si="0"/>
        <v>no</v>
      </c>
      <c r="V29" t="str">
        <f t="shared" si="1"/>
        <v>standard</v>
      </c>
    </row>
    <row r="30" spans="1:22" x14ac:dyDescent="0.3">
      <c r="A30">
        <v>1029</v>
      </c>
      <c r="B30" t="s">
        <v>114</v>
      </c>
      <c r="C30" t="s">
        <v>21</v>
      </c>
      <c r="D30">
        <v>41</v>
      </c>
      <c r="E30" t="s">
        <v>73</v>
      </c>
      <c r="F30" t="s">
        <v>55</v>
      </c>
      <c r="G30" t="s">
        <v>56</v>
      </c>
      <c r="H30" t="s">
        <v>57</v>
      </c>
      <c r="I30" t="s">
        <v>26</v>
      </c>
      <c r="J30" t="s">
        <v>87</v>
      </c>
      <c r="K30" s="2" t="s">
        <v>117</v>
      </c>
      <c r="L30" t="s">
        <v>29</v>
      </c>
      <c r="M30" t="s">
        <v>30</v>
      </c>
      <c r="N30" t="s">
        <v>52</v>
      </c>
      <c r="O30">
        <v>2</v>
      </c>
      <c r="P30" t="s">
        <v>44</v>
      </c>
      <c r="Q30">
        <v>14</v>
      </c>
      <c r="R30" s="15">
        <v>175863</v>
      </c>
      <c r="S30" s="15">
        <v>1224000</v>
      </c>
      <c r="T30" s="16">
        <v>7848137</v>
      </c>
      <c r="U30" t="str">
        <f t="shared" si="0"/>
        <v>no</v>
      </c>
      <c r="V30" t="str">
        <f t="shared" si="1"/>
        <v>standard</v>
      </c>
    </row>
    <row r="31" spans="1:22" x14ac:dyDescent="0.3">
      <c r="A31">
        <v>1030</v>
      </c>
      <c r="B31" t="s">
        <v>81</v>
      </c>
      <c r="C31" t="s">
        <v>21</v>
      </c>
      <c r="D31">
        <v>55</v>
      </c>
      <c r="E31" t="s">
        <v>118</v>
      </c>
      <c r="F31" t="s">
        <v>62</v>
      </c>
      <c r="G31" t="s">
        <v>91</v>
      </c>
      <c r="H31" t="s">
        <v>25</v>
      </c>
      <c r="I31" t="s">
        <v>26</v>
      </c>
      <c r="J31" t="s">
        <v>87</v>
      </c>
      <c r="K31" s="2" t="s">
        <v>119</v>
      </c>
      <c r="L31" t="s">
        <v>59</v>
      </c>
      <c r="M31" t="s">
        <v>78</v>
      </c>
      <c r="N31" t="s">
        <v>31</v>
      </c>
      <c r="O31">
        <v>5</v>
      </c>
      <c r="P31" t="s">
        <v>86</v>
      </c>
      <c r="Q31">
        <v>25</v>
      </c>
      <c r="R31" s="15">
        <v>230808</v>
      </c>
      <c r="S31" s="15">
        <v>1350000</v>
      </c>
      <c r="T31" s="16">
        <v>8619192</v>
      </c>
      <c r="U31" t="str">
        <f t="shared" si="0"/>
        <v>no</v>
      </c>
      <c r="V31" t="str">
        <f t="shared" si="1"/>
        <v>standard</v>
      </c>
    </row>
    <row r="32" spans="1:22" x14ac:dyDescent="0.3">
      <c r="A32">
        <v>1031</v>
      </c>
      <c r="B32" t="s">
        <v>114</v>
      </c>
      <c r="C32" t="s">
        <v>34</v>
      </c>
      <c r="D32">
        <v>36</v>
      </c>
      <c r="E32" t="s">
        <v>61</v>
      </c>
      <c r="F32" t="s">
        <v>55</v>
      </c>
      <c r="G32" t="s">
        <v>74</v>
      </c>
      <c r="H32" t="s">
        <v>75</v>
      </c>
      <c r="I32" t="s">
        <v>26</v>
      </c>
      <c r="J32" t="s">
        <v>49</v>
      </c>
      <c r="K32" s="2" t="s">
        <v>120</v>
      </c>
      <c r="L32" t="s">
        <v>59</v>
      </c>
      <c r="M32" t="s">
        <v>43</v>
      </c>
      <c r="N32" t="s">
        <v>31</v>
      </c>
      <c r="O32">
        <v>3</v>
      </c>
      <c r="P32" t="s">
        <v>32</v>
      </c>
      <c r="Q32">
        <v>6</v>
      </c>
      <c r="R32" s="15">
        <v>139232</v>
      </c>
      <c r="S32" s="15">
        <v>2250000</v>
      </c>
      <c r="T32" s="16">
        <v>14610768</v>
      </c>
      <c r="U32" t="str">
        <f t="shared" si="0"/>
        <v>no</v>
      </c>
      <c r="V32" t="str">
        <f t="shared" si="1"/>
        <v>premium</v>
      </c>
    </row>
    <row r="33" spans="1:22" x14ac:dyDescent="0.3">
      <c r="A33">
        <v>1032</v>
      </c>
      <c r="B33" t="s">
        <v>81</v>
      </c>
      <c r="C33" t="s">
        <v>34</v>
      </c>
      <c r="D33">
        <v>55</v>
      </c>
      <c r="E33" t="s">
        <v>90</v>
      </c>
      <c r="F33" t="s">
        <v>23</v>
      </c>
      <c r="G33" t="s">
        <v>69</v>
      </c>
      <c r="H33" t="s">
        <v>69</v>
      </c>
      <c r="I33" t="s">
        <v>39</v>
      </c>
      <c r="J33" t="s">
        <v>40</v>
      </c>
      <c r="K33" s="2" t="s">
        <v>121</v>
      </c>
      <c r="L33" t="s">
        <v>71</v>
      </c>
      <c r="M33" t="s">
        <v>51</v>
      </c>
      <c r="N33" t="s">
        <v>31</v>
      </c>
      <c r="O33">
        <v>5</v>
      </c>
      <c r="P33" t="s">
        <v>44</v>
      </c>
      <c r="Q33">
        <v>11</v>
      </c>
      <c r="R33" s="15">
        <v>137388</v>
      </c>
      <c r="S33" s="15">
        <v>702000</v>
      </c>
      <c r="T33" s="16">
        <v>4464612</v>
      </c>
      <c r="U33" t="str">
        <f t="shared" si="0"/>
        <v>no</v>
      </c>
      <c r="V33" t="str">
        <f t="shared" si="1"/>
        <v>budget</v>
      </c>
    </row>
    <row r="34" spans="1:22" x14ac:dyDescent="0.3">
      <c r="A34">
        <v>1033</v>
      </c>
      <c r="B34" t="s">
        <v>45</v>
      </c>
      <c r="C34" t="s">
        <v>21</v>
      </c>
      <c r="D34">
        <v>32</v>
      </c>
      <c r="E34" t="s">
        <v>82</v>
      </c>
      <c r="F34" t="s">
        <v>62</v>
      </c>
      <c r="G34" t="s">
        <v>56</v>
      </c>
      <c r="H34" t="s">
        <v>57</v>
      </c>
      <c r="I34" t="s">
        <v>39</v>
      </c>
      <c r="J34" t="s">
        <v>27</v>
      </c>
      <c r="K34" s="2" t="s">
        <v>122</v>
      </c>
      <c r="L34" t="s">
        <v>29</v>
      </c>
      <c r="M34" t="s">
        <v>51</v>
      </c>
      <c r="N34" t="s">
        <v>31</v>
      </c>
      <c r="O34">
        <v>2</v>
      </c>
      <c r="P34" t="s">
        <v>32</v>
      </c>
      <c r="Q34">
        <v>5</v>
      </c>
      <c r="R34" s="15">
        <v>224132</v>
      </c>
      <c r="S34" s="15">
        <v>1098000</v>
      </c>
      <c r="T34" s="16">
        <v>6973868</v>
      </c>
      <c r="U34" t="str">
        <f t="shared" si="0"/>
        <v>no</v>
      </c>
      <c r="V34" t="str">
        <f t="shared" si="1"/>
        <v>standard</v>
      </c>
    </row>
    <row r="35" spans="1:22" x14ac:dyDescent="0.3">
      <c r="A35">
        <v>1034</v>
      </c>
      <c r="B35" t="s">
        <v>20</v>
      </c>
      <c r="C35" t="s">
        <v>34</v>
      </c>
      <c r="D35">
        <v>60</v>
      </c>
      <c r="E35" t="s">
        <v>73</v>
      </c>
      <c r="F35" t="s">
        <v>36</v>
      </c>
      <c r="G35" t="s">
        <v>105</v>
      </c>
      <c r="H35" t="s">
        <v>106</v>
      </c>
      <c r="I35" t="s">
        <v>97</v>
      </c>
      <c r="J35" t="s">
        <v>87</v>
      </c>
      <c r="K35" s="2" t="s">
        <v>123</v>
      </c>
      <c r="L35" t="s">
        <v>29</v>
      </c>
      <c r="M35" t="s">
        <v>94</v>
      </c>
      <c r="N35" t="s">
        <v>31</v>
      </c>
      <c r="O35">
        <v>3</v>
      </c>
      <c r="P35" t="s">
        <v>44</v>
      </c>
      <c r="Q35">
        <v>12</v>
      </c>
      <c r="R35" s="15">
        <v>180119</v>
      </c>
      <c r="S35" s="15">
        <v>1224000</v>
      </c>
      <c r="T35" s="16">
        <v>7843881</v>
      </c>
      <c r="U35" t="str">
        <f t="shared" si="0"/>
        <v>no</v>
      </c>
      <c r="V35" t="str">
        <f t="shared" si="1"/>
        <v>standard</v>
      </c>
    </row>
    <row r="36" spans="1:22" x14ac:dyDescent="0.3">
      <c r="A36">
        <v>1035</v>
      </c>
      <c r="B36" t="s">
        <v>108</v>
      </c>
      <c r="C36" t="s">
        <v>21</v>
      </c>
      <c r="D36">
        <v>44</v>
      </c>
      <c r="E36" t="s">
        <v>68</v>
      </c>
      <c r="F36" t="s">
        <v>23</v>
      </c>
      <c r="G36" t="s">
        <v>115</v>
      </c>
      <c r="H36" t="s">
        <v>106</v>
      </c>
      <c r="I36" t="s">
        <v>97</v>
      </c>
      <c r="J36" t="s">
        <v>49</v>
      </c>
      <c r="K36" s="2" t="s">
        <v>124</v>
      </c>
      <c r="L36" t="s">
        <v>66</v>
      </c>
      <c r="M36" t="s">
        <v>30</v>
      </c>
      <c r="N36" t="s">
        <v>52</v>
      </c>
      <c r="O36">
        <v>5</v>
      </c>
      <c r="P36" t="s">
        <v>53</v>
      </c>
      <c r="Q36">
        <v>22</v>
      </c>
      <c r="R36" s="15">
        <v>279171</v>
      </c>
      <c r="S36" s="15">
        <v>846000</v>
      </c>
      <c r="T36" s="16">
        <v>5266829</v>
      </c>
      <c r="U36" t="str">
        <f t="shared" si="0"/>
        <v>no</v>
      </c>
      <c r="V36" t="str">
        <f t="shared" si="1"/>
        <v>standard</v>
      </c>
    </row>
    <row r="37" spans="1:22" x14ac:dyDescent="0.3">
      <c r="A37">
        <v>1036</v>
      </c>
      <c r="B37" t="s">
        <v>20</v>
      </c>
      <c r="C37" t="s">
        <v>21</v>
      </c>
      <c r="D37">
        <v>49</v>
      </c>
      <c r="E37" t="s">
        <v>68</v>
      </c>
      <c r="F37" t="s">
        <v>23</v>
      </c>
      <c r="G37" t="s">
        <v>91</v>
      </c>
      <c r="H37" t="s">
        <v>25</v>
      </c>
      <c r="I37" t="s">
        <v>76</v>
      </c>
      <c r="J37" t="s">
        <v>40</v>
      </c>
      <c r="K37" s="2" t="s">
        <v>125</v>
      </c>
      <c r="L37" t="s">
        <v>29</v>
      </c>
      <c r="M37" t="s">
        <v>78</v>
      </c>
      <c r="N37" t="s">
        <v>31</v>
      </c>
      <c r="O37">
        <v>3</v>
      </c>
      <c r="P37" t="s">
        <v>44</v>
      </c>
      <c r="Q37">
        <v>18</v>
      </c>
      <c r="R37" s="15">
        <v>140891</v>
      </c>
      <c r="S37" s="15">
        <v>846000</v>
      </c>
      <c r="T37" s="16">
        <v>5405109</v>
      </c>
      <c r="U37" t="str">
        <f t="shared" si="0"/>
        <v>no</v>
      </c>
      <c r="V37" t="str">
        <f t="shared" si="1"/>
        <v>standard</v>
      </c>
    </row>
    <row r="38" spans="1:22" x14ac:dyDescent="0.3">
      <c r="A38">
        <v>1037</v>
      </c>
      <c r="B38" t="s">
        <v>45</v>
      </c>
      <c r="C38" t="s">
        <v>34</v>
      </c>
      <c r="D38">
        <v>32</v>
      </c>
      <c r="E38" t="s">
        <v>46</v>
      </c>
      <c r="F38" t="s">
        <v>55</v>
      </c>
      <c r="G38" t="s">
        <v>37</v>
      </c>
      <c r="H38" t="s">
        <v>38</v>
      </c>
      <c r="I38" t="s">
        <v>39</v>
      </c>
      <c r="J38" t="s">
        <v>40</v>
      </c>
      <c r="K38" s="2" t="s">
        <v>126</v>
      </c>
      <c r="L38" t="s">
        <v>29</v>
      </c>
      <c r="M38" t="s">
        <v>43</v>
      </c>
      <c r="N38" t="s">
        <v>31</v>
      </c>
      <c r="O38">
        <v>3</v>
      </c>
      <c r="P38" t="s">
        <v>44</v>
      </c>
      <c r="Q38">
        <v>18</v>
      </c>
      <c r="R38" s="15">
        <v>194311</v>
      </c>
      <c r="S38" s="15">
        <v>5760000</v>
      </c>
      <c r="T38" s="16">
        <v>37565689</v>
      </c>
      <c r="U38" t="str">
        <f t="shared" si="0"/>
        <v>yes</v>
      </c>
      <c r="V38" t="str">
        <f t="shared" si="1"/>
        <v>ultra premium</v>
      </c>
    </row>
    <row r="39" spans="1:22" x14ac:dyDescent="0.3">
      <c r="A39">
        <v>1038</v>
      </c>
      <c r="B39" t="s">
        <v>67</v>
      </c>
      <c r="C39" t="s">
        <v>21</v>
      </c>
      <c r="D39">
        <v>31</v>
      </c>
      <c r="E39" t="s">
        <v>46</v>
      </c>
      <c r="F39" t="s">
        <v>62</v>
      </c>
      <c r="G39" t="s">
        <v>105</v>
      </c>
      <c r="H39" t="s">
        <v>106</v>
      </c>
      <c r="I39" t="s">
        <v>97</v>
      </c>
      <c r="J39" t="s">
        <v>40</v>
      </c>
      <c r="K39" s="2" t="s">
        <v>127</v>
      </c>
      <c r="L39" t="s">
        <v>29</v>
      </c>
      <c r="M39" t="s">
        <v>43</v>
      </c>
      <c r="N39" t="s">
        <v>52</v>
      </c>
      <c r="O39">
        <v>2</v>
      </c>
      <c r="P39" t="s">
        <v>86</v>
      </c>
      <c r="Q39">
        <v>10</v>
      </c>
      <c r="R39" s="15">
        <v>66477</v>
      </c>
      <c r="S39" s="15">
        <v>5760000</v>
      </c>
      <c r="T39" s="16">
        <v>37693523</v>
      </c>
      <c r="U39" t="str">
        <f t="shared" si="0"/>
        <v>yes</v>
      </c>
      <c r="V39" t="str">
        <f t="shared" si="1"/>
        <v>ultra premium</v>
      </c>
    </row>
    <row r="40" spans="1:22" x14ac:dyDescent="0.3">
      <c r="A40">
        <v>1039</v>
      </c>
      <c r="B40" t="s">
        <v>99</v>
      </c>
      <c r="C40" t="s">
        <v>34</v>
      </c>
      <c r="D40">
        <v>48</v>
      </c>
      <c r="E40" t="s">
        <v>68</v>
      </c>
      <c r="F40" t="s">
        <v>62</v>
      </c>
      <c r="G40" t="s">
        <v>105</v>
      </c>
      <c r="H40" t="s">
        <v>106</v>
      </c>
      <c r="I40" t="s">
        <v>97</v>
      </c>
      <c r="J40" t="s">
        <v>40</v>
      </c>
      <c r="K40" s="2" t="s">
        <v>126</v>
      </c>
      <c r="L40" t="s">
        <v>59</v>
      </c>
      <c r="M40" t="s">
        <v>51</v>
      </c>
      <c r="N40" t="s">
        <v>52</v>
      </c>
      <c r="O40">
        <v>5</v>
      </c>
      <c r="P40" t="s">
        <v>86</v>
      </c>
      <c r="Q40">
        <v>20</v>
      </c>
      <c r="R40" s="15">
        <v>75064</v>
      </c>
      <c r="S40" s="15">
        <v>846000</v>
      </c>
      <c r="T40" s="16">
        <v>5470936</v>
      </c>
      <c r="U40" t="str">
        <f t="shared" si="0"/>
        <v>no</v>
      </c>
      <c r="V40" t="str">
        <f t="shared" si="1"/>
        <v>standard</v>
      </c>
    </row>
    <row r="41" spans="1:22" x14ac:dyDescent="0.3">
      <c r="A41">
        <v>1040</v>
      </c>
      <c r="B41" t="s">
        <v>101</v>
      </c>
      <c r="C41" t="s">
        <v>21</v>
      </c>
      <c r="D41">
        <v>33</v>
      </c>
      <c r="E41" t="s">
        <v>73</v>
      </c>
      <c r="F41" t="s">
        <v>62</v>
      </c>
      <c r="G41" t="s">
        <v>105</v>
      </c>
      <c r="H41" t="s">
        <v>106</v>
      </c>
      <c r="I41" t="s">
        <v>76</v>
      </c>
      <c r="J41" t="s">
        <v>87</v>
      </c>
      <c r="K41" s="2" t="s">
        <v>128</v>
      </c>
      <c r="L41" t="s">
        <v>66</v>
      </c>
      <c r="M41" t="s">
        <v>51</v>
      </c>
      <c r="N41" t="s">
        <v>31</v>
      </c>
      <c r="O41">
        <v>5</v>
      </c>
      <c r="P41" t="s">
        <v>86</v>
      </c>
      <c r="Q41">
        <v>11</v>
      </c>
      <c r="R41" s="15">
        <v>130840</v>
      </c>
      <c r="S41" s="15">
        <v>1224000</v>
      </c>
      <c r="T41" s="16">
        <v>7893160</v>
      </c>
      <c r="U41" t="str">
        <f t="shared" si="0"/>
        <v>no</v>
      </c>
      <c r="V41" t="str">
        <f t="shared" si="1"/>
        <v>standard</v>
      </c>
    </row>
    <row r="42" spans="1:22" x14ac:dyDescent="0.3">
      <c r="A42">
        <v>1041</v>
      </c>
      <c r="B42" t="s">
        <v>99</v>
      </c>
      <c r="C42" t="s">
        <v>34</v>
      </c>
      <c r="D42">
        <v>59</v>
      </c>
      <c r="E42" t="s">
        <v>46</v>
      </c>
      <c r="F42" t="s">
        <v>55</v>
      </c>
      <c r="G42" t="s">
        <v>63</v>
      </c>
      <c r="H42" t="s">
        <v>64</v>
      </c>
      <c r="I42" t="s">
        <v>26</v>
      </c>
      <c r="J42" t="s">
        <v>87</v>
      </c>
      <c r="K42" s="2" t="s">
        <v>128</v>
      </c>
      <c r="L42" t="s">
        <v>59</v>
      </c>
      <c r="M42" t="s">
        <v>94</v>
      </c>
      <c r="N42" t="s">
        <v>31</v>
      </c>
      <c r="O42">
        <v>3</v>
      </c>
      <c r="P42" t="s">
        <v>44</v>
      </c>
      <c r="Q42">
        <v>6</v>
      </c>
      <c r="R42" s="15">
        <v>153368</v>
      </c>
      <c r="S42" s="15">
        <v>5760000</v>
      </c>
      <c r="T42" s="16">
        <v>37606632</v>
      </c>
      <c r="U42" t="str">
        <f t="shared" si="0"/>
        <v>yes</v>
      </c>
      <c r="V42" t="str">
        <f t="shared" si="1"/>
        <v>ultra premium</v>
      </c>
    </row>
    <row r="43" spans="1:22" x14ac:dyDescent="0.3">
      <c r="A43">
        <v>1042</v>
      </c>
      <c r="B43" t="s">
        <v>114</v>
      </c>
      <c r="C43" t="s">
        <v>34</v>
      </c>
      <c r="D43">
        <v>42</v>
      </c>
      <c r="E43" t="s">
        <v>90</v>
      </c>
      <c r="F43" t="s">
        <v>55</v>
      </c>
      <c r="G43" t="s">
        <v>56</v>
      </c>
      <c r="H43" t="s">
        <v>57</v>
      </c>
      <c r="I43" t="s">
        <v>76</v>
      </c>
      <c r="J43" t="s">
        <v>49</v>
      </c>
      <c r="K43" s="2" t="s">
        <v>129</v>
      </c>
      <c r="L43" t="s">
        <v>59</v>
      </c>
      <c r="M43" t="s">
        <v>30</v>
      </c>
      <c r="N43" t="s">
        <v>52</v>
      </c>
      <c r="O43">
        <v>3</v>
      </c>
      <c r="P43" t="s">
        <v>86</v>
      </c>
      <c r="Q43">
        <v>17</v>
      </c>
      <c r="R43" s="15">
        <v>77299</v>
      </c>
      <c r="S43" s="15">
        <v>702000</v>
      </c>
      <c r="T43" s="16">
        <v>4524701</v>
      </c>
      <c r="U43" t="str">
        <f t="shared" si="0"/>
        <v>no</v>
      </c>
      <c r="V43" t="str">
        <f t="shared" si="1"/>
        <v>standard</v>
      </c>
    </row>
    <row r="44" spans="1:22" x14ac:dyDescent="0.3">
      <c r="A44">
        <v>1043</v>
      </c>
      <c r="B44" t="s">
        <v>45</v>
      </c>
      <c r="C44" t="s">
        <v>34</v>
      </c>
      <c r="D44">
        <v>31</v>
      </c>
      <c r="E44" t="s">
        <v>112</v>
      </c>
      <c r="F44" t="s">
        <v>36</v>
      </c>
      <c r="G44" t="s">
        <v>56</v>
      </c>
      <c r="H44" t="s">
        <v>57</v>
      </c>
      <c r="I44" t="s">
        <v>97</v>
      </c>
      <c r="J44" t="s">
        <v>27</v>
      </c>
      <c r="K44" s="2" t="s">
        <v>130</v>
      </c>
      <c r="L44" t="s">
        <v>42</v>
      </c>
      <c r="M44" t="s">
        <v>78</v>
      </c>
      <c r="N44" t="s">
        <v>52</v>
      </c>
      <c r="O44">
        <v>4</v>
      </c>
      <c r="P44" t="s">
        <v>44</v>
      </c>
      <c r="Q44">
        <v>8</v>
      </c>
      <c r="R44" s="15">
        <v>221608</v>
      </c>
      <c r="S44" s="15">
        <v>936000</v>
      </c>
      <c r="T44" s="16">
        <v>5914392</v>
      </c>
      <c r="U44" t="str">
        <f t="shared" si="0"/>
        <v>no</v>
      </c>
      <c r="V44" t="str">
        <f t="shared" si="1"/>
        <v>standard</v>
      </c>
    </row>
    <row r="45" spans="1:22" x14ac:dyDescent="0.3">
      <c r="A45">
        <v>1044</v>
      </c>
      <c r="B45" t="s">
        <v>81</v>
      </c>
      <c r="C45" t="s">
        <v>21</v>
      </c>
      <c r="D45">
        <v>52</v>
      </c>
      <c r="E45" t="s">
        <v>35</v>
      </c>
      <c r="F45" t="s">
        <v>62</v>
      </c>
      <c r="G45" t="s">
        <v>56</v>
      </c>
      <c r="H45" t="s">
        <v>57</v>
      </c>
      <c r="I45" t="s">
        <v>48</v>
      </c>
      <c r="J45" t="s">
        <v>40</v>
      </c>
      <c r="K45" s="2" t="s">
        <v>131</v>
      </c>
      <c r="L45" t="s">
        <v>66</v>
      </c>
      <c r="M45" t="s">
        <v>30</v>
      </c>
      <c r="N45" t="s">
        <v>31</v>
      </c>
      <c r="O45">
        <v>5</v>
      </c>
      <c r="P45" t="s">
        <v>53</v>
      </c>
      <c r="Q45">
        <v>18</v>
      </c>
      <c r="R45" s="15">
        <v>185652</v>
      </c>
      <c r="S45" s="15">
        <v>1764000</v>
      </c>
      <c r="T45" s="16">
        <v>11378348</v>
      </c>
      <c r="U45" t="str">
        <f t="shared" si="0"/>
        <v>yes</v>
      </c>
      <c r="V45" t="str">
        <f t="shared" si="1"/>
        <v>premium</v>
      </c>
    </row>
    <row r="46" spans="1:22" x14ac:dyDescent="0.3">
      <c r="A46">
        <v>1045</v>
      </c>
      <c r="B46" t="s">
        <v>99</v>
      </c>
      <c r="C46" t="s">
        <v>21</v>
      </c>
      <c r="D46">
        <v>45</v>
      </c>
      <c r="E46" t="s">
        <v>82</v>
      </c>
      <c r="F46" t="s">
        <v>62</v>
      </c>
      <c r="G46" t="s">
        <v>56</v>
      </c>
      <c r="H46" t="s">
        <v>57</v>
      </c>
      <c r="I46" t="s">
        <v>76</v>
      </c>
      <c r="J46" t="s">
        <v>49</v>
      </c>
      <c r="K46" s="2" t="s">
        <v>132</v>
      </c>
      <c r="L46" t="s">
        <v>66</v>
      </c>
      <c r="M46" t="s">
        <v>30</v>
      </c>
      <c r="N46" t="s">
        <v>31</v>
      </c>
      <c r="O46">
        <v>5</v>
      </c>
      <c r="P46" t="s">
        <v>32</v>
      </c>
      <c r="Q46">
        <v>17</v>
      </c>
      <c r="R46" s="15">
        <v>280160</v>
      </c>
      <c r="S46" s="15">
        <v>1098000</v>
      </c>
      <c r="T46" s="16">
        <v>6917840</v>
      </c>
      <c r="U46" t="str">
        <f t="shared" si="0"/>
        <v>no</v>
      </c>
      <c r="V46" t="str">
        <f t="shared" si="1"/>
        <v>standard</v>
      </c>
    </row>
    <row r="47" spans="1:22" x14ac:dyDescent="0.3">
      <c r="A47">
        <v>1046</v>
      </c>
      <c r="B47" t="s">
        <v>114</v>
      </c>
      <c r="C47" t="s">
        <v>21</v>
      </c>
      <c r="D47">
        <v>36</v>
      </c>
      <c r="E47" t="s">
        <v>35</v>
      </c>
      <c r="F47" t="s">
        <v>55</v>
      </c>
      <c r="G47" t="s">
        <v>63</v>
      </c>
      <c r="H47" t="s">
        <v>64</v>
      </c>
      <c r="I47" t="s">
        <v>39</v>
      </c>
      <c r="J47" t="s">
        <v>49</v>
      </c>
      <c r="K47" s="2" t="s">
        <v>133</v>
      </c>
      <c r="L47" t="s">
        <v>42</v>
      </c>
      <c r="M47" t="s">
        <v>51</v>
      </c>
      <c r="N47" t="s">
        <v>52</v>
      </c>
      <c r="O47">
        <v>3</v>
      </c>
      <c r="P47" t="s">
        <v>44</v>
      </c>
      <c r="Q47">
        <v>15</v>
      </c>
      <c r="R47" s="15">
        <v>93096</v>
      </c>
      <c r="S47" s="15">
        <v>1764000</v>
      </c>
      <c r="T47" s="16">
        <v>11470904</v>
      </c>
      <c r="U47" t="str">
        <f t="shared" si="0"/>
        <v>yes</v>
      </c>
      <c r="V47" t="str">
        <f t="shared" si="1"/>
        <v>premium</v>
      </c>
    </row>
    <row r="48" spans="1:22" x14ac:dyDescent="0.3">
      <c r="A48">
        <v>1047</v>
      </c>
      <c r="B48" t="s">
        <v>20</v>
      </c>
      <c r="C48" t="s">
        <v>21</v>
      </c>
      <c r="D48">
        <v>32</v>
      </c>
      <c r="E48" t="s">
        <v>22</v>
      </c>
      <c r="F48" t="s">
        <v>55</v>
      </c>
      <c r="G48" t="s">
        <v>115</v>
      </c>
      <c r="H48" t="s">
        <v>106</v>
      </c>
      <c r="I48" t="s">
        <v>39</v>
      </c>
      <c r="J48" t="s">
        <v>87</v>
      </c>
      <c r="K48" s="2" t="s">
        <v>134</v>
      </c>
      <c r="L48" t="s">
        <v>66</v>
      </c>
      <c r="M48" t="s">
        <v>30</v>
      </c>
      <c r="N48" t="s">
        <v>31</v>
      </c>
      <c r="O48">
        <v>3</v>
      </c>
      <c r="P48" t="s">
        <v>86</v>
      </c>
      <c r="Q48">
        <v>7</v>
      </c>
      <c r="R48" s="15">
        <v>224366</v>
      </c>
      <c r="S48" s="15">
        <v>756000</v>
      </c>
      <c r="T48" s="16">
        <v>4731634</v>
      </c>
      <c r="U48" t="str">
        <f t="shared" si="0"/>
        <v>no</v>
      </c>
      <c r="V48" t="str">
        <f t="shared" si="1"/>
        <v>standard</v>
      </c>
    </row>
    <row r="49" spans="1:22" x14ac:dyDescent="0.3">
      <c r="A49">
        <v>1048</v>
      </c>
      <c r="B49" t="s">
        <v>114</v>
      </c>
      <c r="C49" t="s">
        <v>34</v>
      </c>
      <c r="D49">
        <v>52</v>
      </c>
      <c r="E49" t="s">
        <v>22</v>
      </c>
      <c r="F49" t="s">
        <v>55</v>
      </c>
      <c r="G49" t="s">
        <v>115</v>
      </c>
      <c r="H49" t="s">
        <v>106</v>
      </c>
      <c r="I49" t="s">
        <v>76</v>
      </c>
      <c r="J49" t="s">
        <v>27</v>
      </c>
      <c r="K49" s="2" t="s">
        <v>135</v>
      </c>
      <c r="L49" t="s">
        <v>66</v>
      </c>
      <c r="M49" t="s">
        <v>51</v>
      </c>
      <c r="N49" t="s">
        <v>52</v>
      </c>
      <c r="O49">
        <v>4</v>
      </c>
      <c r="P49" t="s">
        <v>44</v>
      </c>
      <c r="Q49">
        <v>6</v>
      </c>
      <c r="R49" s="15">
        <v>182668</v>
      </c>
      <c r="S49" s="15">
        <v>756000</v>
      </c>
      <c r="T49" s="16">
        <v>4773332</v>
      </c>
      <c r="U49" t="str">
        <f t="shared" si="0"/>
        <v>no</v>
      </c>
      <c r="V49" t="str">
        <f t="shared" si="1"/>
        <v>standard</v>
      </c>
    </row>
    <row r="50" spans="1:22" x14ac:dyDescent="0.3">
      <c r="A50">
        <v>1049</v>
      </c>
      <c r="B50" t="s">
        <v>114</v>
      </c>
      <c r="C50" t="s">
        <v>34</v>
      </c>
      <c r="D50">
        <v>44</v>
      </c>
      <c r="E50" t="s">
        <v>112</v>
      </c>
      <c r="F50" t="s">
        <v>23</v>
      </c>
      <c r="G50" t="s">
        <v>37</v>
      </c>
      <c r="H50" t="s">
        <v>38</v>
      </c>
      <c r="I50" t="s">
        <v>26</v>
      </c>
      <c r="J50" t="s">
        <v>87</v>
      </c>
      <c r="K50" s="2" t="s">
        <v>136</v>
      </c>
      <c r="L50" t="s">
        <v>66</v>
      </c>
      <c r="M50" t="s">
        <v>78</v>
      </c>
      <c r="N50" t="s">
        <v>52</v>
      </c>
      <c r="O50">
        <v>5</v>
      </c>
      <c r="P50" t="s">
        <v>86</v>
      </c>
      <c r="Q50">
        <v>18</v>
      </c>
      <c r="R50" s="15">
        <v>154578</v>
      </c>
      <c r="S50" s="15">
        <v>936000</v>
      </c>
      <c r="T50" s="16">
        <v>5981422</v>
      </c>
      <c r="U50" t="str">
        <f t="shared" si="0"/>
        <v>no</v>
      </c>
      <c r="V50" t="str">
        <f t="shared" si="1"/>
        <v>standard</v>
      </c>
    </row>
    <row r="51" spans="1:22" x14ac:dyDescent="0.3">
      <c r="A51">
        <v>1050</v>
      </c>
      <c r="B51" t="s">
        <v>45</v>
      </c>
      <c r="C51" t="s">
        <v>21</v>
      </c>
      <c r="D51">
        <v>55</v>
      </c>
      <c r="E51" t="s">
        <v>22</v>
      </c>
      <c r="F51" t="s">
        <v>55</v>
      </c>
      <c r="G51" t="s">
        <v>115</v>
      </c>
      <c r="H51" t="s">
        <v>106</v>
      </c>
      <c r="I51" t="s">
        <v>48</v>
      </c>
      <c r="J51" t="s">
        <v>87</v>
      </c>
      <c r="K51" s="2" t="s">
        <v>137</v>
      </c>
      <c r="L51" t="s">
        <v>42</v>
      </c>
      <c r="M51" t="s">
        <v>94</v>
      </c>
      <c r="N51" t="s">
        <v>52</v>
      </c>
      <c r="O51">
        <v>3</v>
      </c>
      <c r="P51" t="s">
        <v>86</v>
      </c>
      <c r="Q51">
        <v>16</v>
      </c>
      <c r="R51" s="15">
        <v>54339</v>
      </c>
      <c r="S51" s="15">
        <v>756000</v>
      </c>
      <c r="T51" s="16">
        <v>4901661</v>
      </c>
      <c r="U51" t="str">
        <f t="shared" si="0"/>
        <v>no</v>
      </c>
      <c r="V51" t="str">
        <f t="shared" si="1"/>
        <v>standard</v>
      </c>
    </row>
    <row r="52" spans="1:22" x14ac:dyDescent="0.3">
      <c r="A52">
        <v>1051</v>
      </c>
      <c r="B52" t="s">
        <v>33</v>
      </c>
      <c r="C52" t="s">
        <v>34</v>
      </c>
      <c r="D52">
        <v>48</v>
      </c>
      <c r="E52" t="s">
        <v>73</v>
      </c>
      <c r="F52" t="s">
        <v>55</v>
      </c>
      <c r="G52" t="s">
        <v>91</v>
      </c>
      <c r="H52" t="s">
        <v>25</v>
      </c>
      <c r="I52" t="s">
        <v>76</v>
      </c>
      <c r="J52" t="s">
        <v>40</v>
      </c>
      <c r="K52" s="2" t="s">
        <v>138</v>
      </c>
      <c r="L52" t="s">
        <v>59</v>
      </c>
      <c r="M52" t="s">
        <v>94</v>
      </c>
      <c r="N52" t="s">
        <v>31</v>
      </c>
      <c r="O52">
        <v>5</v>
      </c>
      <c r="P52" t="s">
        <v>32</v>
      </c>
      <c r="Q52">
        <v>21</v>
      </c>
      <c r="R52" s="15">
        <v>53349</v>
      </c>
      <c r="S52" s="15">
        <v>1224000</v>
      </c>
      <c r="T52" s="16">
        <v>7970651</v>
      </c>
      <c r="U52" t="str">
        <f t="shared" si="0"/>
        <v>no</v>
      </c>
      <c r="V52" t="str">
        <f t="shared" si="1"/>
        <v>standard</v>
      </c>
    </row>
    <row r="53" spans="1:22" x14ac:dyDescent="0.3">
      <c r="A53">
        <v>1052</v>
      </c>
      <c r="B53" t="s">
        <v>104</v>
      </c>
      <c r="C53" t="s">
        <v>34</v>
      </c>
      <c r="D53">
        <v>45</v>
      </c>
      <c r="E53" t="s">
        <v>73</v>
      </c>
      <c r="F53" t="s">
        <v>62</v>
      </c>
      <c r="G53" t="s">
        <v>74</v>
      </c>
      <c r="H53" t="s">
        <v>75</v>
      </c>
      <c r="I53" t="s">
        <v>48</v>
      </c>
      <c r="J53" t="s">
        <v>49</v>
      </c>
      <c r="K53" s="2" t="s">
        <v>139</v>
      </c>
      <c r="L53" t="s">
        <v>29</v>
      </c>
      <c r="M53" t="s">
        <v>30</v>
      </c>
      <c r="N53" t="s">
        <v>52</v>
      </c>
      <c r="O53">
        <v>3</v>
      </c>
      <c r="P53" t="s">
        <v>44</v>
      </c>
      <c r="Q53">
        <v>19</v>
      </c>
      <c r="R53" s="15">
        <v>261054</v>
      </c>
      <c r="S53" s="15">
        <v>1224000</v>
      </c>
      <c r="T53" s="16">
        <v>7762946</v>
      </c>
      <c r="U53" t="str">
        <f t="shared" si="0"/>
        <v>no</v>
      </c>
      <c r="V53" t="str">
        <f t="shared" si="1"/>
        <v>standard</v>
      </c>
    </row>
    <row r="54" spans="1:22" x14ac:dyDescent="0.3">
      <c r="A54">
        <v>1053</v>
      </c>
      <c r="B54" t="s">
        <v>108</v>
      </c>
      <c r="C54" t="s">
        <v>21</v>
      </c>
      <c r="D54">
        <v>49</v>
      </c>
      <c r="E54" t="s">
        <v>22</v>
      </c>
      <c r="F54" t="s">
        <v>62</v>
      </c>
      <c r="G54" t="s">
        <v>63</v>
      </c>
      <c r="H54" t="s">
        <v>64</v>
      </c>
      <c r="I54" t="s">
        <v>76</v>
      </c>
      <c r="J54" t="s">
        <v>40</v>
      </c>
      <c r="K54" s="2" t="s">
        <v>140</v>
      </c>
      <c r="L54" t="s">
        <v>66</v>
      </c>
      <c r="M54" t="s">
        <v>51</v>
      </c>
      <c r="N54" t="s">
        <v>31</v>
      </c>
      <c r="O54">
        <v>3</v>
      </c>
      <c r="P54" t="s">
        <v>32</v>
      </c>
      <c r="Q54">
        <v>25</v>
      </c>
      <c r="R54" s="15">
        <v>50224</v>
      </c>
      <c r="S54" s="15">
        <v>756000</v>
      </c>
      <c r="T54" s="16">
        <v>4905776</v>
      </c>
      <c r="U54" t="str">
        <f t="shared" si="0"/>
        <v>no</v>
      </c>
      <c r="V54" t="str">
        <f t="shared" si="1"/>
        <v>standard</v>
      </c>
    </row>
    <row r="55" spans="1:22" x14ac:dyDescent="0.3">
      <c r="A55">
        <v>1054</v>
      </c>
      <c r="B55" t="s">
        <v>67</v>
      </c>
      <c r="C55" t="s">
        <v>21</v>
      </c>
      <c r="D55">
        <v>51</v>
      </c>
      <c r="E55" t="s">
        <v>118</v>
      </c>
      <c r="F55" t="s">
        <v>62</v>
      </c>
      <c r="G55" t="s">
        <v>69</v>
      </c>
      <c r="H55" t="s">
        <v>69</v>
      </c>
      <c r="I55" t="s">
        <v>76</v>
      </c>
      <c r="J55" t="s">
        <v>27</v>
      </c>
      <c r="K55" s="2" t="s">
        <v>141</v>
      </c>
      <c r="L55" t="s">
        <v>66</v>
      </c>
      <c r="M55" t="s">
        <v>94</v>
      </c>
      <c r="N55" t="s">
        <v>31</v>
      </c>
      <c r="O55">
        <v>2</v>
      </c>
      <c r="P55" t="s">
        <v>32</v>
      </c>
      <c r="Q55">
        <v>23</v>
      </c>
      <c r="R55" s="15">
        <v>247082</v>
      </c>
      <c r="S55" s="15">
        <v>1350000</v>
      </c>
      <c r="T55" s="16">
        <v>8602918</v>
      </c>
      <c r="U55" t="str">
        <f t="shared" si="0"/>
        <v>no</v>
      </c>
      <c r="V55" t="str">
        <f t="shared" si="1"/>
        <v>standard</v>
      </c>
    </row>
    <row r="56" spans="1:22" x14ac:dyDescent="0.3">
      <c r="A56">
        <v>1055</v>
      </c>
      <c r="B56" t="s">
        <v>104</v>
      </c>
      <c r="C56" t="s">
        <v>34</v>
      </c>
      <c r="D56">
        <v>35</v>
      </c>
      <c r="E56" t="s">
        <v>46</v>
      </c>
      <c r="F56" t="s">
        <v>36</v>
      </c>
      <c r="G56" t="s">
        <v>63</v>
      </c>
      <c r="H56" t="s">
        <v>64</v>
      </c>
      <c r="I56" t="s">
        <v>39</v>
      </c>
      <c r="J56" t="s">
        <v>87</v>
      </c>
      <c r="K56" s="2" t="s">
        <v>142</v>
      </c>
      <c r="L56" t="s">
        <v>66</v>
      </c>
      <c r="M56" t="s">
        <v>78</v>
      </c>
      <c r="N56" t="s">
        <v>31</v>
      </c>
      <c r="O56">
        <v>3</v>
      </c>
      <c r="P56" t="s">
        <v>44</v>
      </c>
      <c r="Q56">
        <v>9</v>
      </c>
      <c r="R56" s="15">
        <v>63492</v>
      </c>
      <c r="S56" s="15">
        <v>5760000</v>
      </c>
      <c r="T56" s="16">
        <v>37696508</v>
      </c>
      <c r="U56" t="str">
        <f t="shared" si="0"/>
        <v>yes</v>
      </c>
      <c r="V56" t="str">
        <f t="shared" si="1"/>
        <v>ultra premium</v>
      </c>
    </row>
    <row r="57" spans="1:22" x14ac:dyDescent="0.3">
      <c r="A57">
        <v>1056</v>
      </c>
      <c r="B57" t="s">
        <v>108</v>
      </c>
      <c r="C57" t="s">
        <v>34</v>
      </c>
      <c r="D57">
        <v>50</v>
      </c>
      <c r="E57" t="s">
        <v>68</v>
      </c>
      <c r="F57" t="s">
        <v>62</v>
      </c>
      <c r="G57" t="s">
        <v>74</v>
      </c>
      <c r="H57" t="s">
        <v>75</v>
      </c>
      <c r="I57" t="s">
        <v>48</v>
      </c>
      <c r="J57" t="s">
        <v>87</v>
      </c>
      <c r="K57" s="2" t="s">
        <v>143</v>
      </c>
      <c r="L57" t="s">
        <v>66</v>
      </c>
      <c r="M57" t="s">
        <v>30</v>
      </c>
      <c r="N57" t="s">
        <v>31</v>
      </c>
      <c r="O57">
        <v>4</v>
      </c>
      <c r="P57" t="s">
        <v>86</v>
      </c>
      <c r="Q57">
        <v>7</v>
      </c>
      <c r="R57" s="15">
        <v>266404</v>
      </c>
      <c r="S57" s="15">
        <v>846000</v>
      </c>
      <c r="T57" s="16">
        <v>5279596</v>
      </c>
      <c r="U57" t="str">
        <f t="shared" si="0"/>
        <v>no</v>
      </c>
      <c r="V57" t="str">
        <f t="shared" si="1"/>
        <v>standard</v>
      </c>
    </row>
    <row r="58" spans="1:22" x14ac:dyDescent="0.3">
      <c r="A58">
        <v>1057</v>
      </c>
      <c r="B58" t="s">
        <v>60</v>
      </c>
      <c r="C58" t="s">
        <v>34</v>
      </c>
      <c r="D58">
        <v>30</v>
      </c>
      <c r="E58" t="s">
        <v>82</v>
      </c>
      <c r="F58" t="s">
        <v>36</v>
      </c>
      <c r="G58" t="s">
        <v>115</v>
      </c>
      <c r="H58" t="s">
        <v>106</v>
      </c>
      <c r="I58" t="s">
        <v>76</v>
      </c>
      <c r="J58" t="s">
        <v>87</v>
      </c>
      <c r="K58" s="2" t="s">
        <v>144</v>
      </c>
      <c r="L58" t="s">
        <v>66</v>
      </c>
      <c r="M58" t="s">
        <v>51</v>
      </c>
      <c r="N58" t="s">
        <v>52</v>
      </c>
      <c r="O58">
        <v>3</v>
      </c>
      <c r="P58" t="s">
        <v>44</v>
      </c>
      <c r="Q58">
        <v>23</v>
      </c>
      <c r="R58" s="15">
        <v>127482</v>
      </c>
      <c r="S58" s="15">
        <v>1098000</v>
      </c>
      <c r="T58" s="16">
        <v>7070518</v>
      </c>
      <c r="U58" t="str">
        <f t="shared" si="0"/>
        <v>no</v>
      </c>
      <c r="V58" t="str">
        <f t="shared" si="1"/>
        <v>standard</v>
      </c>
    </row>
    <row r="59" spans="1:22" x14ac:dyDescent="0.3">
      <c r="A59">
        <v>1058</v>
      </c>
      <c r="B59" t="s">
        <v>99</v>
      </c>
      <c r="C59" t="s">
        <v>21</v>
      </c>
      <c r="D59">
        <v>28</v>
      </c>
      <c r="E59" t="s">
        <v>46</v>
      </c>
      <c r="F59" t="s">
        <v>62</v>
      </c>
      <c r="G59" t="s">
        <v>47</v>
      </c>
      <c r="H59" t="s">
        <v>25</v>
      </c>
      <c r="I59" t="s">
        <v>97</v>
      </c>
      <c r="J59" t="s">
        <v>27</v>
      </c>
      <c r="K59" s="2" t="s">
        <v>145</v>
      </c>
      <c r="L59" t="s">
        <v>42</v>
      </c>
      <c r="M59" t="s">
        <v>78</v>
      </c>
      <c r="N59" t="s">
        <v>31</v>
      </c>
      <c r="O59">
        <v>5</v>
      </c>
      <c r="P59" t="s">
        <v>53</v>
      </c>
      <c r="Q59">
        <v>15</v>
      </c>
      <c r="R59" s="15">
        <v>73860</v>
      </c>
      <c r="S59" s="15">
        <v>5760000</v>
      </c>
      <c r="T59" s="16">
        <v>37686140</v>
      </c>
      <c r="U59" t="str">
        <f t="shared" si="0"/>
        <v>yes</v>
      </c>
      <c r="V59" t="str">
        <f t="shared" si="1"/>
        <v>ultra premium</v>
      </c>
    </row>
    <row r="60" spans="1:22" x14ac:dyDescent="0.3">
      <c r="A60">
        <v>1059</v>
      </c>
      <c r="B60" t="s">
        <v>79</v>
      </c>
      <c r="C60" t="s">
        <v>34</v>
      </c>
      <c r="D60">
        <v>34</v>
      </c>
      <c r="E60" t="s">
        <v>73</v>
      </c>
      <c r="F60" t="s">
        <v>62</v>
      </c>
      <c r="G60" t="s">
        <v>37</v>
      </c>
      <c r="H60" t="s">
        <v>38</v>
      </c>
      <c r="I60" t="s">
        <v>48</v>
      </c>
      <c r="J60" t="s">
        <v>27</v>
      </c>
      <c r="K60" s="2" t="s">
        <v>146</v>
      </c>
      <c r="L60" t="s">
        <v>71</v>
      </c>
      <c r="M60" t="s">
        <v>94</v>
      </c>
      <c r="N60" t="s">
        <v>52</v>
      </c>
      <c r="O60">
        <v>3</v>
      </c>
      <c r="P60" t="s">
        <v>44</v>
      </c>
      <c r="Q60">
        <v>6</v>
      </c>
      <c r="R60" s="15">
        <v>159821</v>
      </c>
      <c r="S60" s="15">
        <v>1224000</v>
      </c>
      <c r="T60" s="16">
        <v>7864179</v>
      </c>
      <c r="U60" t="str">
        <f t="shared" si="0"/>
        <v>no</v>
      </c>
      <c r="V60" t="str">
        <f t="shared" si="1"/>
        <v>standard</v>
      </c>
    </row>
    <row r="61" spans="1:22" x14ac:dyDescent="0.3">
      <c r="A61">
        <v>1060</v>
      </c>
      <c r="B61" t="s">
        <v>95</v>
      </c>
      <c r="C61" t="s">
        <v>21</v>
      </c>
      <c r="D61">
        <v>39</v>
      </c>
      <c r="E61" t="s">
        <v>22</v>
      </c>
      <c r="F61" t="s">
        <v>23</v>
      </c>
      <c r="G61" t="s">
        <v>91</v>
      </c>
      <c r="H61" t="s">
        <v>25</v>
      </c>
      <c r="I61" t="s">
        <v>48</v>
      </c>
      <c r="J61" t="s">
        <v>40</v>
      </c>
      <c r="K61" s="2" t="s">
        <v>147</v>
      </c>
      <c r="L61" t="s">
        <v>66</v>
      </c>
      <c r="M61" t="s">
        <v>78</v>
      </c>
      <c r="N61" t="s">
        <v>31</v>
      </c>
      <c r="O61">
        <v>3</v>
      </c>
      <c r="P61" t="s">
        <v>86</v>
      </c>
      <c r="Q61">
        <v>5</v>
      </c>
      <c r="R61" s="15">
        <v>278601</v>
      </c>
      <c r="S61" s="15">
        <v>756000</v>
      </c>
      <c r="T61" s="16">
        <v>4677399</v>
      </c>
      <c r="U61" t="str">
        <f t="shared" si="0"/>
        <v>no</v>
      </c>
      <c r="V61" t="str">
        <f t="shared" si="1"/>
        <v>standard</v>
      </c>
    </row>
    <row r="62" spans="1:22" x14ac:dyDescent="0.3">
      <c r="A62">
        <v>1061</v>
      </c>
      <c r="B62" t="s">
        <v>54</v>
      </c>
      <c r="C62" t="s">
        <v>21</v>
      </c>
      <c r="D62">
        <v>27</v>
      </c>
      <c r="E62" t="s">
        <v>90</v>
      </c>
      <c r="F62" t="s">
        <v>36</v>
      </c>
      <c r="G62" t="s">
        <v>69</v>
      </c>
      <c r="H62" t="s">
        <v>69</v>
      </c>
      <c r="I62" t="s">
        <v>48</v>
      </c>
      <c r="J62" t="s">
        <v>27</v>
      </c>
      <c r="K62" s="2" t="s">
        <v>148</v>
      </c>
      <c r="L62" t="s">
        <v>66</v>
      </c>
      <c r="M62" t="s">
        <v>94</v>
      </c>
      <c r="N62" t="s">
        <v>52</v>
      </c>
      <c r="O62">
        <v>3</v>
      </c>
      <c r="P62" t="s">
        <v>44</v>
      </c>
      <c r="Q62">
        <v>7</v>
      </c>
      <c r="R62" s="15">
        <v>259714</v>
      </c>
      <c r="S62" s="15">
        <v>702000</v>
      </c>
      <c r="T62" s="16">
        <v>4342286</v>
      </c>
      <c r="U62" t="str">
        <f t="shared" si="0"/>
        <v>no</v>
      </c>
      <c r="V62" t="str">
        <f t="shared" si="1"/>
        <v>budget</v>
      </c>
    </row>
    <row r="63" spans="1:22" x14ac:dyDescent="0.3">
      <c r="A63">
        <v>1062</v>
      </c>
      <c r="B63" t="s">
        <v>20</v>
      </c>
      <c r="C63" t="s">
        <v>21</v>
      </c>
      <c r="D63">
        <v>32</v>
      </c>
      <c r="E63" t="s">
        <v>73</v>
      </c>
      <c r="F63" t="s">
        <v>55</v>
      </c>
      <c r="G63" t="s">
        <v>56</v>
      </c>
      <c r="H63" t="s">
        <v>57</v>
      </c>
      <c r="I63" t="s">
        <v>26</v>
      </c>
      <c r="J63" t="s">
        <v>49</v>
      </c>
      <c r="K63" s="2" t="s">
        <v>149</v>
      </c>
      <c r="L63" t="s">
        <v>71</v>
      </c>
      <c r="M63" t="s">
        <v>43</v>
      </c>
      <c r="N63" t="s">
        <v>31</v>
      </c>
      <c r="O63">
        <v>4</v>
      </c>
      <c r="P63" t="s">
        <v>32</v>
      </c>
      <c r="Q63">
        <v>14</v>
      </c>
      <c r="R63" s="15">
        <v>199323</v>
      </c>
      <c r="S63" s="15">
        <v>1224000</v>
      </c>
      <c r="T63" s="16">
        <v>7824677</v>
      </c>
      <c r="U63" t="str">
        <f t="shared" si="0"/>
        <v>no</v>
      </c>
      <c r="V63" t="str">
        <f t="shared" si="1"/>
        <v>standard</v>
      </c>
    </row>
    <row r="64" spans="1:22" x14ac:dyDescent="0.3">
      <c r="A64">
        <v>1063</v>
      </c>
      <c r="B64" t="s">
        <v>79</v>
      </c>
      <c r="C64" t="s">
        <v>21</v>
      </c>
      <c r="D64">
        <v>33</v>
      </c>
      <c r="E64" t="s">
        <v>112</v>
      </c>
      <c r="F64" t="s">
        <v>36</v>
      </c>
      <c r="G64" t="s">
        <v>56</v>
      </c>
      <c r="H64" t="s">
        <v>57</v>
      </c>
      <c r="I64" t="s">
        <v>76</v>
      </c>
      <c r="J64" t="s">
        <v>87</v>
      </c>
      <c r="K64" s="2" t="s">
        <v>150</v>
      </c>
      <c r="L64" t="s">
        <v>29</v>
      </c>
      <c r="M64" t="s">
        <v>30</v>
      </c>
      <c r="N64" t="s">
        <v>52</v>
      </c>
      <c r="O64">
        <v>5</v>
      </c>
      <c r="P64" t="s">
        <v>44</v>
      </c>
      <c r="Q64">
        <v>16</v>
      </c>
      <c r="R64" s="15">
        <v>234788</v>
      </c>
      <c r="S64" s="15">
        <v>936000</v>
      </c>
      <c r="T64" s="16">
        <v>5901212</v>
      </c>
      <c r="U64" t="str">
        <f t="shared" si="0"/>
        <v>no</v>
      </c>
      <c r="V64" t="str">
        <f t="shared" si="1"/>
        <v>standard</v>
      </c>
    </row>
    <row r="65" spans="1:22" x14ac:dyDescent="0.3">
      <c r="A65">
        <v>1064</v>
      </c>
      <c r="B65" t="s">
        <v>54</v>
      </c>
      <c r="C65" t="s">
        <v>34</v>
      </c>
      <c r="D65">
        <v>41</v>
      </c>
      <c r="E65" t="s">
        <v>73</v>
      </c>
      <c r="F65" t="s">
        <v>23</v>
      </c>
      <c r="G65" t="s">
        <v>69</v>
      </c>
      <c r="H65" t="s">
        <v>69</v>
      </c>
      <c r="I65" t="s">
        <v>76</v>
      </c>
      <c r="J65" t="s">
        <v>27</v>
      </c>
      <c r="K65" s="2" t="s">
        <v>151</v>
      </c>
      <c r="L65" t="s">
        <v>42</v>
      </c>
      <c r="M65" t="s">
        <v>30</v>
      </c>
      <c r="N65" t="s">
        <v>31</v>
      </c>
      <c r="O65">
        <v>3</v>
      </c>
      <c r="P65" t="s">
        <v>32</v>
      </c>
      <c r="Q65">
        <v>13</v>
      </c>
      <c r="R65" s="15">
        <v>221136</v>
      </c>
      <c r="S65" s="15">
        <v>1224000</v>
      </c>
      <c r="T65" s="16">
        <v>7802864</v>
      </c>
      <c r="U65" t="str">
        <f t="shared" si="0"/>
        <v>no</v>
      </c>
      <c r="V65" t="str">
        <f t="shared" si="1"/>
        <v>standard</v>
      </c>
    </row>
    <row r="66" spans="1:22" x14ac:dyDescent="0.3">
      <c r="A66">
        <v>1065</v>
      </c>
      <c r="B66" t="s">
        <v>79</v>
      </c>
      <c r="C66" t="s">
        <v>34</v>
      </c>
      <c r="D66">
        <v>52</v>
      </c>
      <c r="E66" t="s">
        <v>118</v>
      </c>
      <c r="F66" t="s">
        <v>55</v>
      </c>
      <c r="G66" t="s">
        <v>63</v>
      </c>
      <c r="H66" t="s">
        <v>64</v>
      </c>
      <c r="I66" t="s">
        <v>26</v>
      </c>
      <c r="J66" t="s">
        <v>87</v>
      </c>
      <c r="K66" s="2" t="s">
        <v>152</v>
      </c>
      <c r="L66" t="s">
        <v>59</v>
      </c>
      <c r="M66" t="s">
        <v>78</v>
      </c>
      <c r="N66" t="s">
        <v>52</v>
      </c>
      <c r="O66">
        <v>4</v>
      </c>
      <c r="P66" t="s">
        <v>53</v>
      </c>
      <c r="Q66">
        <v>18</v>
      </c>
      <c r="R66" s="15">
        <v>189991</v>
      </c>
      <c r="S66" s="15">
        <v>1350000</v>
      </c>
      <c r="T66" s="16">
        <v>8660009</v>
      </c>
      <c r="U66" t="str">
        <f t="shared" si="0"/>
        <v>no</v>
      </c>
      <c r="V66" t="str">
        <f t="shared" si="1"/>
        <v>standard</v>
      </c>
    </row>
    <row r="67" spans="1:22" x14ac:dyDescent="0.3">
      <c r="A67">
        <v>1066</v>
      </c>
      <c r="B67" t="s">
        <v>72</v>
      </c>
      <c r="C67" t="s">
        <v>34</v>
      </c>
      <c r="D67">
        <v>25</v>
      </c>
      <c r="E67" t="s">
        <v>112</v>
      </c>
      <c r="F67" t="s">
        <v>36</v>
      </c>
      <c r="G67" t="s">
        <v>91</v>
      </c>
      <c r="H67" t="s">
        <v>25</v>
      </c>
      <c r="I67" t="s">
        <v>26</v>
      </c>
      <c r="J67" t="s">
        <v>87</v>
      </c>
      <c r="K67" s="2" t="s">
        <v>153</v>
      </c>
      <c r="L67" t="s">
        <v>59</v>
      </c>
      <c r="M67" t="s">
        <v>94</v>
      </c>
      <c r="N67" t="s">
        <v>52</v>
      </c>
      <c r="O67">
        <v>2</v>
      </c>
      <c r="P67" t="s">
        <v>86</v>
      </c>
      <c r="Q67">
        <v>20</v>
      </c>
      <c r="R67" s="15">
        <v>177976</v>
      </c>
      <c r="S67" s="15">
        <v>936000</v>
      </c>
      <c r="T67" s="16">
        <v>5958024</v>
      </c>
      <c r="U67" t="str">
        <f t="shared" ref="U67:U130" si="2">IF(OR(E67="AMG C43",E67="AMG G63"),"yes","no")</f>
        <v>no</v>
      </c>
      <c r="V67" t="str">
        <f t="shared" ref="V67:V130" si="3">IF(T67&gt;=20000000,"ultra premium",IF(T67&gt;=10000000,"premium",IF(T67&gt;=4500000,"standard","budget")))</f>
        <v>standard</v>
      </c>
    </row>
    <row r="68" spans="1:22" x14ac:dyDescent="0.3">
      <c r="A68">
        <v>1067</v>
      </c>
      <c r="B68" t="s">
        <v>20</v>
      </c>
      <c r="C68" t="s">
        <v>21</v>
      </c>
      <c r="D68">
        <v>32</v>
      </c>
      <c r="E68" t="s">
        <v>35</v>
      </c>
      <c r="F68" t="s">
        <v>36</v>
      </c>
      <c r="G68" t="s">
        <v>115</v>
      </c>
      <c r="H68" t="s">
        <v>106</v>
      </c>
      <c r="I68" t="s">
        <v>26</v>
      </c>
      <c r="J68" t="s">
        <v>87</v>
      </c>
      <c r="K68" s="2" t="s">
        <v>154</v>
      </c>
      <c r="L68" t="s">
        <v>66</v>
      </c>
      <c r="M68" t="s">
        <v>94</v>
      </c>
      <c r="N68" t="s">
        <v>31</v>
      </c>
      <c r="O68">
        <v>4</v>
      </c>
      <c r="P68" t="s">
        <v>53</v>
      </c>
      <c r="Q68">
        <v>16</v>
      </c>
      <c r="R68" s="15">
        <v>259483</v>
      </c>
      <c r="S68" s="15">
        <v>1764000</v>
      </c>
      <c r="T68" s="16">
        <v>11304517</v>
      </c>
      <c r="U68" t="str">
        <f t="shared" si="2"/>
        <v>yes</v>
      </c>
      <c r="V68" t="str">
        <f t="shared" si="3"/>
        <v>premium</v>
      </c>
    </row>
    <row r="69" spans="1:22" x14ac:dyDescent="0.3">
      <c r="A69">
        <v>1068</v>
      </c>
      <c r="B69" t="s">
        <v>60</v>
      </c>
      <c r="C69" t="s">
        <v>34</v>
      </c>
      <c r="D69">
        <v>30</v>
      </c>
      <c r="E69" t="s">
        <v>22</v>
      </c>
      <c r="F69" t="s">
        <v>23</v>
      </c>
      <c r="G69" t="s">
        <v>63</v>
      </c>
      <c r="H69" t="s">
        <v>64</v>
      </c>
      <c r="I69" t="s">
        <v>48</v>
      </c>
      <c r="J69" t="s">
        <v>40</v>
      </c>
      <c r="K69" s="2" t="s">
        <v>155</v>
      </c>
      <c r="L69" t="s">
        <v>42</v>
      </c>
      <c r="M69" t="s">
        <v>94</v>
      </c>
      <c r="N69" t="s">
        <v>31</v>
      </c>
      <c r="O69">
        <v>3</v>
      </c>
      <c r="P69" t="s">
        <v>53</v>
      </c>
      <c r="Q69">
        <v>16</v>
      </c>
      <c r="R69" s="15">
        <v>224212</v>
      </c>
      <c r="S69" s="15">
        <v>756000</v>
      </c>
      <c r="T69" s="16">
        <v>4731788</v>
      </c>
      <c r="U69" t="str">
        <f t="shared" si="2"/>
        <v>no</v>
      </c>
      <c r="V69" t="str">
        <f t="shared" si="3"/>
        <v>standard</v>
      </c>
    </row>
    <row r="70" spans="1:22" x14ac:dyDescent="0.3">
      <c r="A70">
        <v>1069</v>
      </c>
      <c r="B70" t="s">
        <v>108</v>
      </c>
      <c r="C70" t="s">
        <v>21</v>
      </c>
      <c r="D70">
        <v>38</v>
      </c>
      <c r="E70" t="s">
        <v>61</v>
      </c>
      <c r="F70" t="s">
        <v>36</v>
      </c>
      <c r="G70" t="s">
        <v>47</v>
      </c>
      <c r="H70" t="s">
        <v>25</v>
      </c>
      <c r="I70" t="s">
        <v>26</v>
      </c>
      <c r="J70" t="s">
        <v>40</v>
      </c>
      <c r="K70" s="2" t="s">
        <v>156</v>
      </c>
      <c r="L70" t="s">
        <v>59</v>
      </c>
      <c r="M70" t="s">
        <v>94</v>
      </c>
      <c r="N70" t="s">
        <v>52</v>
      </c>
      <c r="O70">
        <v>4</v>
      </c>
      <c r="P70" t="s">
        <v>86</v>
      </c>
      <c r="Q70">
        <v>7</v>
      </c>
      <c r="R70" s="15">
        <v>141842</v>
      </c>
      <c r="S70" s="15">
        <v>2250000</v>
      </c>
      <c r="T70" s="16">
        <v>14608158</v>
      </c>
      <c r="U70" t="str">
        <f t="shared" si="2"/>
        <v>no</v>
      </c>
      <c r="V70" t="str">
        <f t="shared" si="3"/>
        <v>premium</v>
      </c>
    </row>
    <row r="71" spans="1:22" x14ac:dyDescent="0.3">
      <c r="A71">
        <v>1070</v>
      </c>
      <c r="B71" t="s">
        <v>108</v>
      </c>
      <c r="C71" t="s">
        <v>21</v>
      </c>
      <c r="D71">
        <v>41</v>
      </c>
      <c r="E71" t="s">
        <v>35</v>
      </c>
      <c r="F71" t="s">
        <v>36</v>
      </c>
      <c r="G71" t="s">
        <v>105</v>
      </c>
      <c r="H71" t="s">
        <v>106</v>
      </c>
      <c r="I71" t="s">
        <v>39</v>
      </c>
      <c r="J71" t="s">
        <v>40</v>
      </c>
      <c r="K71" s="2" t="s">
        <v>157</v>
      </c>
      <c r="L71" t="s">
        <v>42</v>
      </c>
      <c r="M71" t="s">
        <v>51</v>
      </c>
      <c r="N71" t="s">
        <v>31</v>
      </c>
      <c r="O71">
        <v>3</v>
      </c>
      <c r="P71" t="s">
        <v>86</v>
      </c>
      <c r="Q71">
        <v>24</v>
      </c>
      <c r="R71" s="15">
        <v>267785</v>
      </c>
      <c r="S71" s="15">
        <v>1764000</v>
      </c>
      <c r="T71" s="16">
        <v>11296215</v>
      </c>
      <c r="U71" t="str">
        <f t="shared" si="2"/>
        <v>yes</v>
      </c>
      <c r="V71" t="str">
        <f t="shared" si="3"/>
        <v>premium</v>
      </c>
    </row>
    <row r="72" spans="1:22" x14ac:dyDescent="0.3">
      <c r="A72">
        <v>1071</v>
      </c>
      <c r="B72" t="s">
        <v>54</v>
      </c>
      <c r="C72" t="s">
        <v>21</v>
      </c>
      <c r="D72">
        <v>48</v>
      </c>
      <c r="E72" t="s">
        <v>61</v>
      </c>
      <c r="F72" t="s">
        <v>55</v>
      </c>
      <c r="G72" t="s">
        <v>115</v>
      </c>
      <c r="H72" t="s">
        <v>106</v>
      </c>
      <c r="I72" t="s">
        <v>97</v>
      </c>
      <c r="J72" t="s">
        <v>87</v>
      </c>
      <c r="K72" s="2" t="s">
        <v>158</v>
      </c>
      <c r="L72" t="s">
        <v>42</v>
      </c>
      <c r="M72" t="s">
        <v>51</v>
      </c>
      <c r="N72" t="s">
        <v>52</v>
      </c>
      <c r="O72">
        <v>3</v>
      </c>
      <c r="P72" t="s">
        <v>53</v>
      </c>
      <c r="Q72">
        <v>5</v>
      </c>
      <c r="R72" s="15">
        <v>130076</v>
      </c>
      <c r="S72" s="15">
        <v>2250000</v>
      </c>
      <c r="T72" s="16">
        <v>14619924</v>
      </c>
      <c r="U72" t="str">
        <f t="shared" si="2"/>
        <v>no</v>
      </c>
      <c r="V72" t="str">
        <f t="shared" si="3"/>
        <v>premium</v>
      </c>
    </row>
    <row r="73" spans="1:22" x14ac:dyDescent="0.3">
      <c r="A73">
        <v>1072</v>
      </c>
      <c r="B73" t="s">
        <v>67</v>
      </c>
      <c r="C73" t="s">
        <v>34</v>
      </c>
      <c r="D73">
        <v>56</v>
      </c>
      <c r="E73" t="s">
        <v>46</v>
      </c>
      <c r="F73" t="s">
        <v>23</v>
      </c>
      <c r="G73" t="s">
        <v>69</v>
      </c>
      <c r="H73" t="s">
        <v>69</v>
      </c>
      <c r="I73" t="s">
        <v>39</v>
      </c>
      <c r="J73" t="s">
        <v>40</v>
      </c>
      <c r="K73" s="2" t="s">
        <v>151</v>
      </c>
      <c r="L73" t="s">
        <v>42</v>
      </c>
      <c r="M73" t="s">
        <v>78</v>
      </c>
      <c r="N73" t="s">
        <v>31</v>
      </c>
      <c r="O73">
        <v>2</v>
      </c>
      <c r="P73" t="s">
        <v>32</v>
      </c>
      <c r="Q73">
        <v>10</v>
      </c>
      <c r="R73" s="15">
        <v>198702</v>
      </c>
      <c r="S73" s="15">
        <v>5760000</v>
      </c>
      <c r="T73" s="16">
        <v>37561298</v>
      </c>
      <c r="U73" t="str">
        <f t="shared" si="2"/>
        <v>yes</v>
      </c>
      <c r="V73" t="str">
        <f t="shared" si="3"/>
        <v>ultra premium</v>
      </c>
    </row>
    <row r="74" spans="1:22" x14ac:dyDescent="0.3">
      <c r="A74">
        <v>1073</v>
      </c>
      <c r="B74" t="s">
        <v>60</v>
      </c>
      <c r="C74" t="s">
        <v>34</v>
      </c>
      <c r="D74">
        <v>56</v>
      </c>
      <c r="E74" t="s">
        <v>46</v>
      </c>
      <c r="F74" t="s">
        <v>23</v>
      </c>
      <c r="G74" t="s">
        <v>63</v>
      </c>
      <c r="H74" t="s">
        <v>64</v>
      </c>
      <c r="I74" t="s">
        <v>39</v>
      </c>
      <c r="J74" t="s">
        <v>87</v>
      </c>
      <c r="K74" s="2" t="s">
        <v>159</v>
      </c>
      <c r="L74" t="s">
        <v>71</v>
      </c>
      <c r="M74" t="s">
        <v>43</v>
      </c>
      <c r="N74" t="s">
        <v>52</v>
      </c>
      <c r="O74">
        <v>4</v>
      </c>
      <c r="P74" t="s">
        <v>44</v>
      </c>
      <c r="Q74">
        <v>9</v>
      </c>
      <c r="R74" s="15">
        <v>175719</v>
      </c>
      <c r="S74" s="15">
        <v>5760000</v>
      </c>
      <c r="T74" s="16">
        <v>37584281</v>
      </c>
      <c r="U74" t="str">
        <f t="shared" si="2"/>
        <v>yes</v>
      </c>
      <c r="V74" t="str">
        <f t="shared" si="3"/>
        <v>ultra premium</v>
      </c>
    </row>
    <row r="75" spans="1:22" x14ac:dyDescent="0.3">
      <c r="A75">
        <v>1074</v>
      </c>
      <c r="B75" t="s">
        <v>104</v>
      </c>
      <c r="C75" t="s">
        <v>21</v>
      </c>
      <c r="D75">
        <v>38</v>
      </c>
      <c r="E75" t="s">
        <v>35</v>
      </c>
      <c r="F75" t="s">
        <v>62</v>
      </c>
      <c r="G75" t="s">
        <v>56</v>
      </c>
      <c r="H75" t="s">
        <v>57</v>
      </c>
      <c r="I75" t="s">
        <v>97</v>
      </c>
      <c r="J75" t="s">
        <v>49</v>
      </c>
      <c r="K75" s="2" t="s">
        <v>160</v>
      </c>
      <c r="L75" t="s">
        <v>66</v>
      </c>
      <c r="M75" t="s">
        <v>94</v>
      </c>
      <c r="N75" t="s">
        <v>31</v>
      </c>
      <c r="O75">
        <v>4</v>
      </c>
      <c r="P75" t="s">
        <v>44</v>
      </c>
      <c r="Q75">
        <v>18</v>
      </c>
      <c r="R75" s="15">
        <v>254412</v>
      </c>
      <c r="S75" s="15">
        <v>1764000</v>
      </c>
      <c r="T75" s="16">
        <v>11309588</v>
      </c>
      <c r="U75" t="str">
        <f t="shared" si="2"/>
        <v>yes</v>
      </c>
      <c r="V75" t="str">
        <f t="shared" si="3"/>
        <v>premium</v>
      </c>
    </row>
    <row r="76" spans="1:22" x14ac:dyDescent="0.3">
      <c r="A76">
        <v>1075</v>
      </c>
      <c r="B76" t="s">
        <v>54</v>
      </c>
      <c r="C76" t="s">
        <v>21</v>
      </c>
      <c r="D76">
        <v>34</v>
      </c>
      <c r="E76" t="s">
        <v>22</v>
      </c>
      <c r="F76" t="s">
        <v>23</v>
      </c>
      <c r="G76" t="s">
        <v>74</v>
      </c>
      <c r="H76" t="s">
        <v>75</v>
      </c>
      <c r="I76" t="s">
        <v>97</v>
      </c>
      <c r="J76" t="s">
        <v>87</v>
      </c>
      <c r="K76" s="2" t="s">
        <v>161</v>
      </c>
      <c r="L76" t="s">
        <v>71</v>
      </c>
      <c r="M76" t="s">
        <v>51</v>
      </c>
      <c r="N76" t="s">
        <v>52</v>
      </c>
      <c r="O76">
        <v>4</v>
      </c>
      <c r="P76" t="s">
        <v>32</v>
      </c>
      <c r="Q76">
        <v>15</v>
      </c>
      <c r="R76" s="15">
        <v>211692</v>
      </c>
      <c r="S76" s="15">
        <v>756000</v>
      </c>
      <c r="T76" s="16">
        <v>4744308</v>
      </c>
      <c r="U76" t="str">
        <f t="shared" si="2"/>
        <v>no</v>
      </c>
      <c r="V76" t="str">
        <f t="shared" si="3"/>
        <v>standard</v>
      </c>
    </row>
    <row r="77" spans="1:22" x14ac:dyDescent="0.3">
      <c r="A77">
        <v>1076</v>
      </c>
      <c r="B77" t="s">
        <v>54</v>
      </c>
      <c r="C77" t="s">
        <v>21</v>
      </c>
      <c r="D77">
        <v>35</v>
      </c>
      <c r="E77" t="s">
        <v>46</v>
      </c>
      <c r="F77" t="s">
        <v>23</v>
      </c>
      <c r="G77" t="s">
        <v>115</v>
      </c>
      <c r="H77" t="s">
        <v>106</v>
      </c>
      <c r="I77" t="s">
        <v>48</v>
      </c>
      <c r="J77" t="s">
        <v>87</v>
      </c>
      <c r="K77" s="2" t="s">
        <v>162</v>
      </c>
      <c r="L77" t="s">
        <v>42</v>
      </c>
      <c r="M77" t="s">
        <v>51</v>
      </c>
      <c r="N77" t="s">
        <v>31</v>
      </c>
      <c r="O77">
        <v>3</v>
      </c>
      <c r="P77" t="s">
        <v>32</v>
      </c>
      <c r="Q77">
        <v>14</v>
      </c>
      <c r="R77" s="15">
        <v>83614</v>
      </c>
      <c r="S77" s="15">
        <v>5760000</v>
      </c>
      <c r="T77" s="16">
        <v>37676386</v>
      </c>
      <c r="U77" t="str">
        <f t="shared" si="2"/>
        <v>yes</v>
      </c>
      <c r="V77" t="str">
        <f t="shared" si="3"/>
        <v>ultra premium</v>
      </c>
    </row>
    <row r="78" spans="1:22" x14ac:dyDescent="0.3">
      <c r="A78">
        <v>1077</v>
      </c>
      <c r="B78" t="s">
        <v>67</v>
      </c>
      <c r="C78" t="s">
        <v>34</v>
      </c>
      <c r="D78">
        <v>46</v>
      </c>
      <c r="E78" t="s">
        <v>61</v>
      </c>
      <c r="F78" t="s">
        <v>36</v>
      </c>
      <c r="G78" t="s">
        <v>91</v>
      </c>
      <c r="H78" t="s">
        <v>25</v>
      </c>
      <c r="I78" t="s">
        <v>39</v>
      </c>
      <c r="J78" t="s">
        <v>27</v>
      </c>
      <c r="K78" s="2" t="s">
        <v>163</v>
      </c>
      <c r="L78" t="s">
        <v>59</v>
      </c>
      <c r="M78" t="s">
        <v>51</v>
      </c>
      <c r="N78" t="s">
        <v>31</v>
      </c>
      <c r="O78">
        <v>3</v>
      </c>
      <c r="P78" t="s">
        <v>86</v>
      </c>
      <c r="Q78">
        <v>17</v>
      </c>
      <c r="R78" s="15">
        <v>245440</v>
      </c>
      <c r="S78" s="15">
        <v>2250000</v>
      </c>
      <c r="T78" s="16">
        <v>14504560</v>
      </c>
      <c r="U78" t="str">
        <f t="shared" si="2"/>
        <v>no</v>
      </c>
      <c r="V78" t="str">
        <f t="shared" si="3"/>
        <v>premium</v>
      </c>
    </row>
    <row r="79" spans="1:22" x14ac:dyDescent="0.3">
      <c r="A79">
        <v>1078</v>
      </c>
      <c r="B79" t="s">
        <v>72</v>
      </c>
      <c r="C79" t="s">
        <v>34</v>
      </c>
      <c r="D79">
        <v>25</v>
      </c>
      <c r="E79" t="s">
        <v>61</v>
      </c>
      <c r="F79" t="s">
        <v>55</v>
      </c>
      <c r="G79" t="s">
        <v>37</v>
      </c>
      <c r="H79" t="s">
        <v>38</v>
      </c>
      <c r="I79" t="s">
        <v>48</v>
      </c>
      <c r="J79" t="s">
        <v>40</v>
      </c>
      <c r="K79" s="2" t="s">
        <v>164</v>
      </c>
      <c r="L79" t="s">
        <v>29</v>
      </c>
      <c r="M79" t="s">
        <v>94</v>
      </c>
      <c r="N79" t="s">
        <v>31</v>
      </c>
      <c r="O79">
        <v>3</v>
      </c>
      <c r="P79" t="s">
        <v>86</v>
      </c>
      <c r="Q79">
        <v>11</v>
      </c>
      <c r="R79" s="15">
        <v>68634</v>
      </c>
      <c r="S79" s="15">
        <v>2250000</v>
      </c>
      <c r="T79" s="16">
        <v>14681366</v>
      </c>
      <c r="U79" t="str">
        <f t="shared" si="2"/>
        <v>no</v>
      </c>
      <c r="V79" t="str">
        <f t="shared" si="3"/>
        <v>premium</v>
      </c>
    </row>
    <row r="80" spans="1:22" x14ac:dyDescent="0.3">
      <c r="A80">
        <v>1079</v>
      </c>
      <c r="B80" t="s">
        <v>54</v>
      </c>
      <c r="C80" t="s">
        <v>34</v>
      </c>
      <c r="D80">
        <v>38</v>
      </c>
      <c r="E80" t="s">
        <v>82</v>
      </c>
      <c r="F80" t="s">
        <v>23</v>
      </c>
      <c r="G80" t="s">
        <v>74</v>
      </c>
      <c r="H80" t="s">
        <v>75</v>
      </c>
      <c r="I80" t="s">
        <v>48</v>
      </c>
      <c r="J80" t="s">
        <v>87</v>
      </c>
      <c r="K80" s="2" t="s">
        <v>165</v>
      </c>
      <c r="L80" t="s">
        <v>71</v>
      </c>
      <c r="M80" t="s">
        <v>30</v>
      </c>
      <c r="N80" t="s">
        <v>52</v>
      </c>
      <c r="O80">
        <v>3</v>
      </c>
      <c r="P80" t="s">
        <v>53</v>
      </c>
      <c r="Q80">
        <v>16</v>
      </c>
      <c r="R80" s="15">
        <v>110821</v>
      </c>
      <c r="S80" s="15">
        <v>1098000</v>
      </c>
      <c r="T80" s="16">
        <v>7087179</v>
      </c>
      <c r="U80" t="str">
        <f t="shared" si="2"/>
        <v>no</v>
      </c>
      <c r="V80" t="str">
        <f t="shared" si="3"/>
        <v>standard</v>
      </c>
    </row>
    <row r="81" spans="1:22" x14ac:dyDescent="0.3">
      <c r="A81">
        <v>1080</v>
      </c>
      <c r="B81" t="s">
        <v>60</v>
      </c>
      <c r="C81" t="s">
        <v>21</v>
      </c>
      <c r="D81">
        <v>30</v>
      </c>
      <c r="E81" t="s">
        <v>73</v>
      </c>
      <c r="F81" t="s">
        <v>55</v>
      </c>
      <c r="G81" t="s">
        <v>74</v>
      </c>
      <c r="H81" t="s">
        <v>75</v>
      </c>
      <c r="I81" t="s">
        <v>39</v>
      </c>
      <c r="J81" t="s">
        <v>27</v>
      </c>
      <c r="K81" s="2" t="s">
        <v>166</v>
      </c>
      <c r="L81" t="s">
        <v>42</v>
      </c>
      <c r="M81" t="s">
        <v>30</v>
      </c>
      <c r="N81" t="s">
        <v>52</v>
      </c>
      <c r="O81">
        <v>3</v>
      </c>
      <c r="P81" t="s">
        <v>53</v>
      </c>
      <c r="Q81">
        <v>23</v>
      </c>
      <c r="R81" s="15">
        <v>114859</v>
      </c>
      <c r="S81" s="15">
        <v>1224000</v>
      </c>
      <c r="T81" s="16">
        <v>7909141</v>
      </c>
      <c r="U81" t="str">
        <f t="shared" si="2"/>
        <v>no</v>
      </c>
      <c r="V81" t="str">
        <f t="shared" si="3"/>
        <v>standard</v>
      </c>
    </row>
    <row r="82" spans="1:22" x14ac:dyDescent="0.3">
      <c r="A82">
        <v>1081</v>
      </c>
      <c r="B82" t="s">
        <v>45</v>
      </c>
      <c r="C82" t="s">
        <v>21</v>
      </c>
      <c r="D82">
        <v>40</v>
      </c>
      <c r="E82" t="s">
        <v>61</v>
      </c>
      <c r="F82" t="s">
        <v>55</v>
      </c>
      <c r="G82" t="s">
        <v>47</v>
      </c>
      <c r="H82" t="s">
        <v>25</v>
      </c>
      <c r="I82" t="s">
        <v>48</v>
      </c>
      <c r="J82" t="s">
        <v>87</v>
      </c>
      <c r="K82" s="2" t="s">
        <v>167</v>
      </c>
      <c r="L82" t="s">
        <v>29</v>
      </c>
      <c r="M82" t="s">
        <v>43</v>
      </c>
      <c r="N82" t="s">
        <v>31</v>
      </c>
      <c r="O82">
        <v>5</v>
      </c>
      <c r="P82" t="s">
        <v>32</v>
      </c>
      <c r="Q82">
        <v>24</v>
      </c>
      <c r="R82" s="15">
        <v>59388</v>
      </c>
      <c r="S82" s="15">
        <v>2250000</v>
      </c>
      <c r="T82" s="16">
        <v>14690612</v>
      </c>
      <c r="U82" t="str">
        <f t="shared" si="2"/>
        <v>no</v>
      </c>
      <c r="V82" t="str">
        <f t="shared" si="3"/>
        <v>premium</v>
      </c>
    </row>
    <row r="83" spans="1:22" x14ac:dyDescent="0.3">
      <c r="A83">
        <v>1082</v>
      </c>
      <c r="B83" t="s">
        <v>99</v>
      </c>
      <c r="C83" t="s">
        <v>34</v>
      </c>
      <c r="D83">
        <v>58</v>
      </c>
      <c r="E83" t="s">
        <v>68</v>
      </c>
      <c r="F83" t="s">
        <v>23</v>
      </c>
      <c r="G83" t="s">
        <v>69</v>
      </c>
      <c r="H83" t="s">
        <v>69</v>
      </c>
      <c r="I83" t="s">
        <v>26</v>
      </c>
      <c r="J83" t="s">
        <v>49</v>
      </c>
      <c r="K83" s="2" t="s">
        <v>168</v>
      </c>
      <c r="L83" t="s">
        <v>42</v>
      </c>
      <c r="M83" t="s">
        <v>51</v>
      </c>
      <c r="N83" t="s">
        <v>52</v>
      </c>
      <c r="O83">
        <v>2</v>
      </c>
      <c r="P83" t="s">
        <v>86</v>
      </c>
      <c r="Q83">
        <v>12</v>
      </c>
      <c r="R83" s="15">
        <v>122798</v>
      </c>
      <c r="S83" s="15">
        <v>846000</v>
      </c>
      <c r="T83" s="16">
        <v>5423202</v>
      </c>
      <c r="U83" t="str">
        <f t="shared" si="2"/>
        <v>no</v>
      </c>
      <c r="V83" t="str">
        <f t="shared" si="3"/>
        <v>standard</v>
      </c>
    </row>
    <row r="84" spans="1:22" x14ac:dyDescent="0.3">
      <c r="A84">
        <v>1083</v>
      </c>
      <c r="B84" t="s">
        <v>101</v>
      </c>
      <c r="C84" t="s">
        <v>21</v>
      </c>
      <c r="D84">
        <v>58</v>
      </c>
      <c r="E84" t="s">
        <v>68</v>
      </c>
      <c r="F84" t="s">
        <v>55</v>
      </c>
      <c r="G84" t="s">
        <v>105</v>
      </c>
      <c r="H84" t="s">
        <v>106</v>
      </c>
      <c r="I84" t="s">
        <v>48</v>
      </c>
      <c r="J84" t="s">
        <v>87</v>
      </c>
      <c r="K84" s="2" t="s">
        <v>169</v>
      </c>
      <c r="L84" t="s">
        <v>42</v>
      </c>
      <c r="M84" t="s">
        <v>78</v>
      </c>
      <c r="N84" t="s">
        <v>31</v>
      </c>
      <c r="O84">
        <v>2</v>
      </c>
      <c r="P84" t="s">
        <v>44</v>
      </c>
      <c r="Q84">
        <v>16</v>
      </c>
      <c r="R84" s="15">
        <v>56647</v>
      </c>
      <c r="S84" s="15">
        <v>846000</v>
      </c>
      <c r="T84" s="16">
        <v>5489353</v>
      </c>
      <c r="U84" t="str">
        <f t="shared" si="2"/>
        <v>no</v>
      </c>
      <c r="V84" t="str">
        <f t="shared" si="3"/>
        <v>standard</v>
      </c>
    </row>
    <row r="85" spans="1:22" x14ac:dyDescent="0.3">
      <c r="A85">
        <v>1084</v>
      </c>
      <c r="B85" t="s">
        <v>101</v>
      </c>
      <c r="C85" t="s">
        <v>21</v>
      </c>
      <c r="D85">
        <v>47</v>
      </c>
      <c r="E85" t="s">
        <v>68</v>
      </c>
      <c r="F85" t="s">
        <v>62</v>
      </c>
      <c r="G85" t="s">
        <v>24</v>
      </c>
      <c r="H85" t="s">
        <v>25</v>
      </c>
      <c r="I85" t="s">
        <v>39</v>
      </c>
      <c r="J85" t="s">
        <v>27</v>
      </c>
      <c r="K85" s="2" t="s">
        <v>170</v>
      </c>
      <c r="L85" t="s">
        <v>71</v>
      </c>
      <c r="M85" t="s">
        <v>51</v>
      </c>
      <c r="N85" t="s">
        <v>31</v>
      </c>
      <c r="O85">
        <v>5</v>
      </c>
      <c r="P85" t="s">
        <v>44</v>
      </c>
      <c r="Q85">
        <v>22</v>
      </c>
      <c r="R85" s="15">
        <v>56968</v>
      </c>
      <c r="S85" s="15">
        <v>846000</v>
      </c>
      <c r="T85" s="16">
        <v>5489032</v>
      </c>
      <c r="U85" t="str">
        <f t="shared" si="2"/>
        <v>no</v>
      </c>
      <c r="V85" t="str">
        <f t="shared" si="3"/>
        <v>standard</v>
      </c>
    </row>
    <row r="86" spans="1:22" x14ac:dyDescent="0.3">
      <c r="A86">
        <v>1085</v>
      </c>
      <c r="B86" t="s">
        <v>54</v>
      </c>
      <c r="C86" t="s">
        <v>34</v>
      </c>
      <c r="D86">
        <v>40</v>
      </c>
      <c r="E86" t="s">
        <v>112</v>
      </c>
      <c r="F86" t="s">
        <v>55</v>
      </c>
      <c r="G86" t="s">
        <v>47</v>
      </c>
      <c r="H86" t="s">
        <v>25</v>
      </c>
      <c r="I86" t="s">
        <v>26</v>
      </c>
      <c r="J86" t="s">
        <v>49</v>
      </c>
      <c r="K86" s="2" t="s">
        <v>171</v>
      </c>
      <c r="L86" t="s">
        <v>59</v>
      </c>
      <c r="M86" t="s">
        <v>94</v>
      </c>
      <c r="N86" t="s">
        <v>31</v>
      </c>
      <c r="O86">
        <v>2</v>
      </c>
      <c r="P86" t="s">
        <v>53</v>
      </c>
      <c r="Q86">
        <v>24</v>
      </c>
      <c r="R86" s="15">
        <v>202161</v>
      </c>
      <c r="S86" s="15">
        <v>936000</v>
      </c>
      <c r="T86" s="16">
        <v>5933839</v>
      </c>
      <c r="U86" t="str">
        <f t="shared" si="2"/>
        <v>no</v>
      </c>
      <c r="V86" t="str">
        <f t="shared" si="3"/>
        <v>standard</v>
      </c>
    </row>
    <row r="87" spans="1:22" x14ac:dyDescent="0.3">
      <c r="A87">
        <v>1086</v>
      </c>
      <c r="B87" t="s">
        <v>20</v>
      </c>
      <c r="C87" t="s">
        <v>21</v>
      </c>
      <c r="D87">
        <v>60</v>
      </c>
      <c r="E87" t="s">
        <v>73</v>
      </c>
      <c r="F87" t="s">
        <v>23</v>
      </c>
      <c r="G87" t="s">
        <v>105</v>
      </c>
      <c r="H87" t="s">
        <v>106</v>
      </c>
      <c r="I87" t="s">
        <v>39</v>
      </c>
      <c r="J87" t="s">
        <v>27</v>
      </c>
      <c r="K87" s="2" t="s">
        <v>172</v>
      </c>
      <c r="L87" t="s">
        <v>29</v>
      </c>
      <c r="M87" t="s">
        <v>43</v>
      </c>
      <c r="N87" t="s">
        <v>31</v>
      </c>
      <c r="O87">
        <v>5</v>
      </c>
      <c r="P87" t="s">
        <v>44</v>
      </c>
      <c r="Q87">
        <v>17</v>
      </c>
      <c r="R87" s="15">
        <v>122044</v>
      </c>
      <c r="S87" s="15">
        <v>1224000</v>
      </c>
      <c r="T87" s="16">
        <v>7901956</v>
      </c>
      <c r="U87" t="str">
        <f t="shared" si="2"/>
        <v>no</v>
      </c>
      <c r="V87" t="str">
        <f t="shared" si="3"/>
        <v>standard</v>
      </c>
    </row>
    <row r="88" spans="1:22" x14ac:dyDescent="0.3">
      <c r="A88">
        <v>1087</v>
      </c>
      <c r="B88" t="s">
        <v>108</v>
      </c>
      <c r="C88" t="s">
        <v>34</v>
      </c>
      <c r="D88">
        <v>38</v>
      </c>
      <c r="E88" t="s">
        <v>112</v>
      </c>
      <c r="F88" t="s">
        <v>55</v>
      </c>
      <c r="G88" t="s">
        <v>24</v>
      </c>
      <c r="H88" t="s">
        <v>25</v>
      </c>
      <c r="I88" t="s">
        <v>39</v>
      </c>
      <c r="J88" t="s">
        <v>49</v>
      </c>
      <c r="K88" s="2" t="s">
        <v>173</v>
      </c>
      <c r="L88" t="s">
        <v>59</v>
      </c>
      <c r="M88" t="s">
        <v>51</v>
      </c>
      <c r="N88" t="s">
        <v>52</v>
      </c>
      <c r="O88">
        <v>2</v>
      </c>
      <c r="P88" t="s">
        <v>53</v>
      </c>
      <c r="Q88">
        <v>5</v>
      </c>
      <c r="R88" s="15">
        <v>223468</v>
      </c>
      <c r="S88" s="15">
        <v>936000</v>
      </c>
      <c r="T88" s="16">
        <v>5912532</v>
      </c>
      <c r="U88" t="str">
        <f t="shared" si="2"/>
        <v>no</v>
      </c>
      <c r="V88" t="str">
        <f t="shared" si="3"/>
        <v>standard</v>
      </c>
    </row>
    <row r="89" spans="1:22" x14ac:dyDescent="0.3">
      <c r="A89">
        <v>1088</v>
      </c>
      <c r="B89" t="s">
        <v>81</v>
      </c>
      <c r="C89" t="s">
        <v>21</v>
      </c>
      <c r="D89">
        <v>40</v>
      </c>
      <c r="E89" t="s">
        <v>82</v>
      </c>
      <c r="F89" t="s">
        <v>55</v>
      </c>
      <c r="G89" t="s">
        <v>115</v>
      </c>
      <c r="H89" t="s">
        <v>106</v>
      </c>
      <c r="I89" t="s">
        <v>76</v>
      </c>
      <c r="J89" t="s">
        <v>87</v>
      </c>
      <c r="K89" s="2" t="s">
        <v>159</v>
      </c>
      <c r="L89" t="s">
        <v>42</v>
      </c>
      <c r="M89" t="s">
        <v>51</v>
      </c>
      <c r="N89" t="s">
        <v>31</v>
      </c>
      <c r="O89">
        <v>4</v>
      </c>
      <c r="P89" t="s">
        <v>44</v>
      </c>
      <c r="Q89">
        <v>7</v>
      </c>
      <c r="R89" s="15">
        <v>254653</v>
      </c>
      <c r="S89" s="15">
        <v>1098000</v>
      </c>
      <c r="T89" s="16">
        <v>6943347</v>
      </c>
      <c r="U89" t="str">
        <f t="shared" si="2"/>
        <v>no</v>
      </c>
      <c r="V89" t="str">
        <f t="shared" si="3"/>
        <v>standard</v>
      </c>
    </row>
    <row r="90" spans="1:22" x14ac:dyDescent="0.3">
      <c r="A90">
        <v>1089</v>
      </c>
      <c r="B90" t="s">
        <v>45</v>
      </c>
      <c r="C90" t="s">
        <v>34</v>
      </c>
      <c r="D90">
        <v>44</v>
      </c>
      <c r="E90" t="s">
        <v>61</v>
      </c>
      <c r="F90" t="s">
        <v>23</v>
      </c>
      <c r="G90" t="s">
        <v>47</v>
      </c>
      <c r="H90" t="s">
        <v>25</v>
      </c>
      <c r="I90" t="s">
        <v>39</v>
      </c>
      <c r="J90" t="s">
        <v>49</v>
      </c>
      <c r="K90" s="2" t="s">
        <v>174</v>
      </c>
      <c r="L90" t="s">
        <v>71</v>
      </c>
      <c r="M90" t="s">
        <v>43</v>
      </c>
      <c r="N90" t="s">
        <v>52</v>
      </c>
      <c r="O90">
        <v>2</v>
      </c>
      <c r="P90" t="s">
        <v>53</v>
      </c>
      <c r="Q90">
        <v>5</v>
      </c>
      <c r="R90" s="15">
        <v>211713</v>
      </c>
      <c r="S90" s="15">
        <v>2250000</v>
      </c>
      <c r="T90" s="16">
        <v>14538287</v>
      </c>
      <c r="U90" t="str">
        <f t="shared" si="2"/>
        <v>no</v>
      </c>
      <c r="V90" t="str">
        <f t="shared" si="3"/>
        <v>premium</v>
      </c>
    </row>
    <row r="91" spans="1:22" x14ac:dyDescent="0.3">
      <c r="A91">
        <v>1090</v>
      </c>
      <c r="B91" t="s">
        <v>101</v>
      </c>
      <c r="C91" t="s">
        <v>34</v>
      </c>
      <c r="D91">
        <v>44</v>
      </c>
      <c r="E91" t="s">
        <v>35</v>
      </c>
      <c r="F91" t="s">
        <v>62</v>
      </c>
      <c r="G91" t="s">
        <v>91</v>
      </c>
      <c r="H91" t="s">
        <v>25</v>
      </c>
      <c r="I91" t="s">
        <v>97</v>
      </c>
      <c r="J91" t="s">
        <v>27</v>
      </c>
      <c r="K91" s="2" t="s">
        <v>175</v>
      </c>
      <c r="L91" t="s">
        <v>42</v>
      </c>
      <c r="M91" t="s">
        <v>94</v>
      </c>
      <c r="N91" t="s">
        <v>52</v>
      </c>
      <c r="O91">
        <v>4</v>
      </c>
      <c r="P91" t="s">
        <v>86</v>
      </c>
      <c r="Q91">
        <v>6</v>
      </c>
      <c r="R91" s="15">
        <v>174466</v>
      </c>
      <c r="S91" s="15">
        <v>1764000</v>
      </c>
      <c r="T91" s="16">
        <v>11389534</v>
      </c>
      <c r="U91" t="str">
        <f t="shared" si="2"/>
        <v>yes</v>
      </c>
      <c r="V91" t="str">
        <f t="shared" si="3"/>
        <v>premium</v>
      </c>
    </row>
    <row r="92" spans="1:22" x14ac:dyDescent="0.3">
      <c r="A92">
        <v>1091</v>
      </c>
      <c r="B92" t="s">
        <v>67</v>
      </c>
      <c r="C92" t="s">
        <v>21</v>
      </c>
      <c r="D92">
        <v>50</v>
      </c>
      <c r="E92" t="s">
        <v>35</v>
      </c>
      <c r="F92" t="s">
        <v>62</v>
      </c>
      <c r="G92" t="s">
        <v>105</v>
      </c>
      <c r="H92" t="s">
        <v>106</v>
      </c>
      <c r="I92" t="s">
        <v>76</v>
      </c>
      <c r="J92" t="s">
        <v>49</v>
      </c>
      <c r="K92" s="2" t="s">
        <v>176</v>
      </c>
      <c r="L92" t="s">
        <v>66</v>
      </c>
      <c r="M92" t="s">
        <v>30</v>
      </c>
      <c r="N92" t="s">
        <v>52</v>
      </c>
      <c r="O92">
        <v>2</v>
      </c>
      <c r="P92" t="s">
        <v>53</v>
      </c>
      <c r="Q92">
        <v>16</v>
      </c>
      <c r="R92" s="15">
        <v>195100</v>
      </c>
      <c r="S92" s="15">
        <v>1764000</v>
      </c>
      <c r="T92" s="16">
        <v>11368900</v>
      </c>
      <c r="U92" t="str">
        <f t="shared" si="2"/>
        <v>yes</v>
      </c>
      <c r="V92" t="str">
        <f t="shared" si="3"/>
        <v>premium</v>
      </c>
    </row>
    <row r="93" spans="1:22" x14ac:dyDescent="0.3">
      <c r="A93">
        <v>1092</v>
      </c>
      <c r="B93" t="s">
        <v>99</v>
      </c>
      <c r="C93" t="s">
        <v>21</v>
      </c>
      <c r="D93">
        <v>27</v>
      </c>
      <c r="E93" t="s">
        <v>46</v>
      </c>
      <c r="F93" t="s">
        <v>55</v>
      </c>
      <c r="G93" t="s">
        <v>63</v>
      </c>
      <c r="H93" t="s">
        <v>64</v>
      </c>
      <c r="I93" t="s">
        <v>39</v>
      </c>
      <c r="J93" t="s">
        <v>27</v>
      </c>
      <c r="K93" s="2" t="s">
        <v>177</v>
      </c>
      <c r="L93" t="s">
        <v>42</v>
      </c>
      <c r="M93" t="s">
        <v>30</v>
      </c>
      <c r="N93" t="s">
        <v>31</v>
      </c>
      <c r="O93">
        <v>2</v>
      </c>
      <c r="P93" t="s">
        <v>86</v>
      </c>
      <c r="Q93">
        <v>25</v>
      </c>
      <c r="R93" s="15">
        <v>96394</v>
      </c>
      <c r="S93" s="15">
        <v>5760000</v>
      </c>
      <c r="T93" s="16">
        <v>37663606</v>
      </c>
      <c r="U93" t="str">
        <f t="shared" si="2"/>
        <v>yes</v>
      </c>
      <c r="V93" t="str">
        <f t="shared" si="3"/>
        <v>ultra premium</v>
      </c>
    </row>
    <row r="94" spans="1:22" x14ac:dyDescent="0.3">
      <c r="A94">
        <v>1093</v>
      </c>
      <c r="B94" t="s">
        <v>54</v>
      </c>
      <c r="C94" t="s">
        <v>21</v>
      </c>
      <c r="D94">
        <v>37</v>
      </c>
      <c r="E94" t="s">
        <v>61</v>
      </c>
      <c r="F94" t="s">
        <v>23</v>
      </c>
      <c r="G94" t="s">
        <v>74</v>
      </c>
      <c r="H94" t="s">
        <v>75</v>
      </c>
      <c r="I94" t="s">
        <v>26</v>
      </c>
      <c r="J94" t="s">
        <v>40</v>
      </c>
      <c r="K94" s="2" t="s">
        <v>178</v>
      </c>
      <c r="L94" t="s">
        <v>71</v>
      </c>
      <c r="M94" t="s">
        <v>78</v>
      </c>
      <c r="N94" t="s">
        <v>52</v>
      </c>
      <c r="O94">
        <v>4</v>
      </c>
      <c r="P94" t="s">
        <v>53</v>
      </c>
      <c r="Q94">
        <v>9</v>
      </c>
      <c r="R94" s="15">
        <v>232470</v>
      </c>
      <c r="S94" s="15">
        <v>2250000</v>
      </c>
      <c r="T94" s="16">
        <v>14517530</v>
      </c>
      <c r="U94" t="str">
        <f t="shared" si="2"/>
        <v>no</v>
      </c>
      <c r="V94" t="str">
        <f t="shared" si="3"/>
        <v>premium</v>
      </c>
    </row>
    <row r="95" spans="1:22" x14ac:dyDescent="0.3">
      <c r="A95">
        <v>1094</v>
      </c>
      <c r="B95" t="s">
        <v>45</v>
      </c>
      <c r="C95" t="s">
        <v>21</v>
      </c>
      <c r="D95">
        <v>57</v>
      </c>
      <c r="E95" t="s">
        <v>112</v>
      </c>
      <c r="F95" t="s">
        <v>36</v>
      </c>
      <c r="G95" t="s">
        <v>91</v>
      </c>
      <c r="H95" t="s">
        <v>25</v>
      </c>
      <c r="I95" t="s">
        <v>76</v>
      </c>
      <c r="J95" t="s">
        <v>40</v>
      </c>
      <c r="K95" s="2" t="s">
        <v>179</v>
      </c>
      <c r="L95" t="s">
        <v>66</v>
      </c>
      <c r="M95" t="s">
        <v>43</v>
      </c>
      <c r="N95" t="s">
        <v>31</v>
      </c>
      <c r="O95">
        <v>3</v>
      </c>
      <c r="P95" t="s">
        <v>44</v>
      </c>
      <c r="Q95">
        <v>7</v>
      </c>
      <c r="R95" s="15">
        <v>202985</v>
      </c>
      <c r="S95" s="15">
        <v>936000</v>
      </c>
      <c r="T95" s="16">
        <v>5933015</v>
      </c>
      <c r="U95" t="str">
        <f t="shared" si="2"/>
        <v>no</v>
      </c>
      <c r="V95" t="str">
        <f t="shared" si="3"/>
        <v>standard</v>
      </c>
    </row>
    <row r="96" spans="1:22" x14ac:dyDescent="0.3">
      <c r="A96">
        <v>1095</v>
      </c>
      <c r="B96" t="s">
        <v>104</v>
      </c>
      <c r="C96" t="s">
        <v>21</v>
      </c>
      <c r="D96">
        <v>39</v>
      </c>
      <c r="E96" t="s">
        <v>82</v>
      </c>
      <c r="F96" t="s">
        <v>23</v>
      </c>
      <c r="G96" t="s">
        <v>91</v>
      </c>
      <c r="H96" t="s">
        <v>25</v>
      </c>
      <c r="I96" t="s">
        <v>26</v>
      </c>
      <c r="J96" t="s">
        <v>87</v>
      </c>
      <c r="K96" s="2" t="s">
        <v>161</v>
      </c>
      <c r="L96" t="s">
        <v>66</v>
      </c>
      <c r="M96" t="s">
        <v>30</v>
      </c>
      <c r="N96" t="s">
        <v>52</v>
      </c>
      <c r="O96">
        <v>2</v>
      </c>
      <c r="P96" t="s">
        <v>53</v>
      </c>
      <c r="Q96">
        <v>7</v>
      </c>
      <c r="R96" s="15">
        <v>125360</v>
      </c>
      <c r="S96" s="15">
        <v>1098000</v>
      </c>
      <c r="T96" s="16">
        <v>7072640</v>
      </c>
      <c r="U96" t="str">
        <f t="shared" si="2"/>
        <v>no</v>
      </c>
      <c r="V96" t="str">
        <f t="shared" si="3"/>
        <v>standard</v>
      </c>
    </row>
    <row r="97" spans="1:22" x14ac:dyDescent="0.3">
      <c r="A97">
        <v>1096</v>
      </c>
      <c r="B97" t="s">
        <v>99</v>
      </c>
      <c r="C97" t="s">
        <v>34</v>
      </c>
      <c r="D97">
        <v>37</v>
      </c>
      <c r="E97" t="s">
        <v>90</v>
      </c>
      <c r="F97" t="s">
        <v>36</v>
      </c>
      <c r="G97" t="s">
        <v>91</v>
      </c>
      <c r="H97" t="s">
        <v>25</v>
      </c>
      <c r="I97" t="s">
        <v>48</v>
      </c>
      <c r="J97" t="s">
        <v>87</v>
      </c>
      <c r="K97" s="2" t="s">
        <v>180</v>
      </c>
      <c r="L97" t="s">
        <v>66</v>
      </c>
      <c r="M97" t="s">
        <v>51</v>
      </c>
      <c r="N97" t="s">
        <v>31</v>
      </c>
      <c r="O97">
        <v>4</v>
      </c>
      <c r="P97" t="s">
        <v>44</v>
      </c>
      <c r="Q97">
        <v>20</v>
      </c>
      <c r="R97" s="15">
        <v>91231</v>
      </c>
      <c r="S97" s="15">
        <v>702000</v>
      </c>
      <c r="T97" s="16">
        <v>4510769</v>
      </c>
      <c r="U97" t="str">
        <f t="shared" si="2"/>
        <v>no</v>
      </c>
      <c r="V97" t="str">
        <f t="shared" si="3"/>
        <v>standard</v>
      </c>
    </row>
    <row r="98" spans="1:22" x14ac:dyDescent="0.3">
      <c r="A98">
        <v>1097</v>
      </c>
      <c r="B98" t="s">
        <v>72</v>
      </c>
      <c r="C98" t="s">
        <v>21</v>
      </c>
      <c r="D98">
        <v>36</v>
      </c>
      <c r="E98" t="s">
        <v>68</v>
      </c>
      <c r="F98" t="s">
        <v>23</v>
      </c>
      <c r="G98" t="s">
        <v>37</v>
      </c>
      <c r="H98" t="s">
        <v>38</v>
      </c>
      <c r="I98" t="s">
        <v>26</v>
      </c>
      <c r="J98" t="s">
        <v>49</v>
      </c>
      <c r="K98" s="2" t="s">
        <v>181</v>
      </c>
      <c r="L98" t="s">
        <v>71</v>
      </c>
      <c r="M98" t="s">
        <v>30</v>
      </c>
      <c r="N98" t="s">
        <v>52</v>
      </c>
      <c r="O98">
        <v>2</v>
      </c>
      <c r="P98" t="s">
        <v>32</v>
      </c>
      <c r="Q98">
        <v>17</v>
      </c>
      <c r="R98" s="15">
        <v>154885</v>
      </c>
      <c r="S98" s="15">
        <v>846000</v>
      </c>
      <c r="T98" s="16">
        <v>5391115</v>
      </c>
      <c r="U98" t="str">
        <f t="shared" si="2"/>
        <v>no</v>
      </c>
      <c r="V98" t="str">
        <f t="shared" si="3"/>
        <v>standard</v>
      </c>
    </row>
    <row r="99" spans="1:22" x14ac:dyDescent="0.3">
      <c r="A99">
        <v>1098</v>
      </c>
      <c r="B99" t="s">
        <v>54</v>
      </c>
      <c r="C99" t="s">
        <v>21</v>
      </c>
      <c r="D99">
        <v>48</v>
      </c>
      <c r="E99" t="s">
        <v>82</v>
      </c>
      <c r="F99" t="s">
        <v>62</v>
      </c>
      <c r="G99" t="s">
        <v>63</v>
      </c>
      <c r="H99" t="s">
        <v>64</v>
      </c>
      <c r="I99" t="s">
        <v>39</v>
      </c>
      <c r="J99" t="s">
        <v>49</v>
      </c>
      <c r="K99" s="2" t="s">
        <v>111</v>
      </c>
      <c r="L99" t="s">
        <v>42</v>
      </c>
      <c r="M99" t="s">
        <v>30</v>
      </c>
      <c r="N99" t="s">
        <v>52</v>
      </c>
      <c r="O99">
        <v>2</v>
      </c>
      <c r="P99" t="s">
        <v>32</v>
      </c>
      <c r="Q99">
        <v>23</v>
      </c>
      <c r="R99" s="15">
        <v>288990</v>
      </c>
      <c r="S99" s="15">
        <v>1098000</v>
      </c>
      <c r="T99" s="16">
        <v>6909010</v>
      </c>
      <c r="U99" t="str">
        <f t="shared" si="2"/>
        <v>no</v>
      </c>
      <c r="V99" t="str">
        <f t="shared" si="3"/>
        <v>standard</v>
      </c>
    </row>
    <row r="100" spans="1:22" x14ac:dyDescent="0.3">
      <c r="A100">
        <v>1099</v>
      </c>
      <c r="B100" t="s">
        <v>108</v>
      </c>
      <c r="C100" t="s">
        <v>34</v>
      </c>
      <c r="D100">
        <v>60</v>
      </c>
      <c r="E100" t="s">
        <v>61</v>
      </c>
      <c r="F100" t="s">
        <v>55</v>
      </c>
      <c r="G100" t="s">
        <v>47</v>
      </c>
      <c r="H100" t="s">
        <v>25</v>
      </c>
      <c r="I100" t="s">
        <v>76</v>
      </c>
      <c r="J100" t="s">
        <v>40</v>
      </c>
      <c r="K100" s="2" t="s">
        <v>182</v>
      </c>
      <c r="L100" t="s">
        <v>66</v>
      </c>
      <c r="M100" t="s">
        <v>94</v>
      </c>
      <c r="N100" t="s">
        <v>31</v>
      </c>
      <c r="O100">
        <v>5</v>
      </c>
      <c r="P100" t="s">
        <v>44</v>
      </c>
      <c r="Q100">
        <v>17</v>
      </c>
      <c r="R100" s="15">
        <v>261790</v>
      </c>
      <c r="S100" s="15">
        <v>2250000</v>
      </c>
      <c r="T100" s="16">
        <v>14488210</v>
      </c>
      <c r="U100" t="str">
        <f t="shared" si="2"/>
        <v>no</v>
      </c>
      <c r="V100" t="str">
        <f t="shared" si="3"/>
        <v>premium</v>
      </c>
    </row>
    <row r="101" spans="1:22" x14ac:dyDescent="0.3">
      <c r="A101">
        <v>1100</v>
      </c>
      <c r="B101" t="s">
        <v>79</v>
      </c>
      <c r="C101" t="s">
        <v>21</v>
      </c>
      <c r="D101">
        <v>58</v>
      </c>
      <c r="E101" t="s">
        <v>90</v>
      </c>
      <c r="F101" t="s">
        <v>55</v>
      </c>
      <c r="G101" t="s">
        <v>47</v>
      </c>
      <c r="H101" t="s">
        <v>25</v>
      </c>
      <c r="I101" t="s">
        <v>97</v>
      </c>
      <c r="J101" t="s">
        <v>40</v>
      </c>
      <c r="K101" s="2" t="s">
        <v>183</v>
      </c>
      <c r="L101" t="s">
        <v>66</v>
      </c>
      <c r="M101" t="s">
        <v>78</v>
      </c>
      <c r="N101" t="s">
        <v>52</v>
      </c>
      <c r="O101">
        <v>3</v>
      </c>
      <c r="P101" t="s">
        <v>44</v>
      </c>
      <c r="Q101">
        <v>25</v>
      </c>
      <c r="R101" s="15">
        <v>142915</v>
      </c>
      <c r="S101" s="15">
        <v>702000</v>
      </c>
      <c r="T101" s="16">
        <v>4459085</v>
      </c>
      <c r="U101" t="str">
        <f t="shared" si="2"/>
        <v>no</v>
      </c>
      <c r="V101" t="str">
        <f t="shared" si="3"/>
        <v>budget</v>
      </c>
    </row>
    <row r="102" spans="1:22" x14ac:dyDescent="0.3">
      <c r="A102">
        <v>1101</v>
      </c>
      <c r="B102" t="s">
        <v>45</v>
      </c>
      <c r="C102" t="s">
        <v>34</v>
      </c>
      <c r="D102">
        <v>27</v>
      </c>
      <c r="E102" t="s">
        <v>118</v>
      </c>
      <c r="F102" t="s">
        <v>62</v>
      </c>
      <c r="G102" t="s">
        <v>91</v>
      </c>
      <c r="H102" t="s">
        <v>25</v>
      </c>
      <c r="I102" t="s">
        <v>97</v>
      </c>
      <c r="J102" t="s">
        <v>49</v>
      </c>
      <c r="K102" s="2" t="s">
        <v>184</v>
      </c>
      <c r="L102" t="s">
        <v>66</v>
      </c>
      <c r="M102" t="s">
        <v>30</v>
      </c>
      <c r="N102" t="s">
        <v>31</v>
      </c>
      <c r="O102">
        <v>3</v>
      </c>
      <c r="P102" t="s">
        <v>53</v>
      </c>
      <c r="Q102">
        <v>7</v>
      </c>
      <c r="R102" s="15">
        <v>171839</v>
      </c>
      <c r="S102" s="15">
        <v>1350000</v>
      </c>
      <c r="T102" s="16">
        <v>8678161</v>
      </c>
      <c r="U102" t="str">
        <f t="shared" si="2"/>
        <v>no</v>
      </c>
      <c r="V102" t="str">
        <f t="shared" si="3"/>
        <v>standard</v>
      </c>
    </row>
    <row r="103" spans="1:22" x14ac:dyDescent="0.3">
      <c r="A103">
        <v>1102</v>
      </c>
      <c r="B103" t="s">
        <v>99</v>
      </c>
      <c r="C103" t="s">
        <v>21</v>
      </c>
      <c r="D103">
        <v>28</v>
      </c>
      <c r="E103" t="s">
        <v>68</v>
      </c>
      <c r="F103" t="s">
        <v>23</v>
      </c>
      <c r="G103" t="s">
        <v>24</v>
      </c>
      <c r="H103" t="s">
        <v>25</v>
      </c>
      <c r="I103" t="s">
        <v>76</v>
      </c>
      <c r="J103" t="s">
        <v>49</v>
      </c>
      <c r="K103" s="2" t="s">
        <v>185</v>
      </c>
      <c r="L103" t="s">
        <v>29</v>
      </c>
      <c r="M103" t="s">
        <v>94</v>
      </c>
      <c r="N103" t="s">
        <v>31</v>
      </c>
      <c r="O103">
        <v>5</v>
      </c>
      <c r="P103" t="s">
        <v>86</v>
      </c>
      <c r="Q103">
        <v>8</v>
      </c>
      <c r="R103" s="15">
        <v>274381</v>
      </c>
      <c r="S103" s="15">
        <v>846000</v>
      </c>
      <c r="T103" s="16">
        <v>5271619</v>
      </c>
      <c r="U103" t="str">
        <f t="shared" si="2"/>
        <v>no</v>
      </c>
      <c r="V103" t="str">
        <f t="shared" si="3"/>
        <v>standard</v>
      </c>
    </row>
    <row r="104" spans="1:22" x14ac:dyDescent="0.3">
      <c r="A104">
        <v>1103</v>
      </c>
      <c r="B104" t="s">
        <v>99</v>
      </c>
      <c r="C104" t="s">
        <v>34</v>
      </c>
      <c r="D104">
        <v>56</v>
      </c>
      <c r="E104" t="s">
        <v>73</v>
      </c>
      <c r="F104" t="s">
        <v>23</v>
      </c>
      <c r="G104" t="s">
        <v>63</v>
      </c>
      <c r="H104" t="s">
        <v>64</v>
      </c>
      <c r="I104" t="s">
        <v>76</v>
      </c>
      <c r="J104" t="s">
        <v>40</v>
      </c>
      <c r="K104" s="2" t="s">
        <v>50</v>
      </c>
      <c r="L104" t="s">
        <v>66</v>
      </c>
      <c r="M104" t="s">
        <v>51</v>
      </c>
      <c r="N104" t="s">
        <v>52</v>
      </c>
      <c r="O104">
        <v>5</v>
      </c>
      <c r="P104" t="s">
        <v>53</v>
      </c>
      <c r="Q104">
        <v>19</v>
      </c>
      <c r="R104" s="15">
        <v>209331</v>
      </c>
      <c r="S104" s="15">
        <v>1224000</v>
      </c>
      <c r="T104" s="16">
        <v>7814669</v>
      </c>
      <c r="U104" t="str">
        <f t="shared" si="2"/>
        <v>no</v>
      </c>
      <c r="V104" t="str">
        <f t="shared" si="3"/>
        <v>standard</v>
      </c>
    </row>
    <row r="105" spans="1:22" x14ac:dyDescent="0.3">
      <c r="A105">
        <v>1104</v>
      </c>
      <c r="B105" t="s">
        <v>20</v>
      </c>
      <c r="C105" t="s">
        <v>34</v>
      </c>
      <c r="D105">
        <v>46</v>
      </c>
      <c r="E105" t="s">
        <v>73</v>
      </c>
      <c r="F105" t="s">
        <v>23</v>
      </c>
      <c r="G105" t="s">
        <v>91</v>
      </c>
      <c r="H105" t="s">
        <v>25</v>
      </c>
      <c r="I105" t="s">
        <v>26</v>
      </c>
      <c r="J105" t="s">
        <v>87</v>
      </c>
      <c r="K105" s="2" t="s">
        <v>186</v>
      </c>
      <c r="L105" t="s">
        <v>59</v>
      </c>
      <c r="M105" t="s">
        <v>51</v>
      </c>
      <c r="N105" t="s">
        <v>31</v>
      </c>
      <c r="O105">
        <v>4</v>
      </c>
      <c r="P105" t="s">
        <v>53</v>
      </c>
      <c r="Q105">
        <v>25</v>
      </c>
      <c r="R105" s="15">
        <v>193743</v>
      </c>
      <c r="S105" s="15">
        <v>1224000</v>
      </c>
      <c r="T105" s="16">
        <v>7830257</v>
      </c>
      <c r="U105" t="str">
        <f t="shared" si="2"/>
        <v>no</v>
      </c>
      <c r="V105" t="str">
        <f t="shared" si="3"/>
        <v>standard</v>
      </c>
    </row>
    <row r="106" spans="1:22" x14ac:dyDescent="0.3">
      <c r="A106">
        <v>1105</v>
      </c>
      <c r="B106" t="s">
        <v>67</v>
      </c>
      <c r="C106" t="s">
        <v>21</v>
      </c>
      <c r="D106">
        <v>59</v>
      </c>
      <c r="E106" t="s">
        <v>90</v>
      </c>
      <c r="F106" t="s">
        <v>62</v>
      </c>
      <c r="G106" t="s">
        <v>69</v>
      </c>
      <c r="H106" t="s">
        <v>69</v>
      </c>
      <c r="I106" t="s">
        <v>26</v>
      </c>
      <c r="J106" t="s">
        <v>40</v>
      </c>
      <c r="K106" s="2" t="s">
        <v>187</v>
      </c>
      <c r="L106" t="s">
        <v>59</v>
      </c>
      <c r="M106" t="s">
        <v>78</v>
      </c>
      <c r="N106" t="s">
        <v>31</v>
      </c>
      <c r="O106">
        <v>5</v>
      </c>
      <c r="P106" t="s">
        <v>44</v>
      </c>
      <c r="Q106">
        <v>10</v>
      </c>
      <c r="R106" s="15">
        <v>81867</v>
      </c>
      <c r="S106" s="15">
        <v>702000</v>
      </c>
      <c r="T106" s="16">
        <v>4520133</v>
      </c>
      <c r="U106" t="str">
        <f t="shared" si="2"/>
        <v>no</v>
      </c>
      <c r="V106" t="str">
        <f t="shared" si="3"/>
        <v>standard</v>
      </c>
    </row>
    <row r="107" spans="1:22" x14ac:dyDescent="0.3">
      <c r="A107">
        <v>1106</v>
      </c>
      <c r="B107" t="s">
        <v>67</v>
      </c>
      <c r="C107" t="s">
        <v>21</v>
      </c>
      <c r="D107">
        <v>28</v>
      </c>
      <c r="E107" t="s">
        <v>112</v>
      </c>
      <c r="F107" t="s">
        <v>62</v>
      </c>
      <c r="G107" t="s">
        <v>105</v>
      </c>
      <c r="H107" t="s">
        <v>106</v>
      </c>
      <c r="I107" t="s">
        <v>48</v>
      </c>
      <c r="J107" t="s">
        <v>87</v>
      </c>
      <c r="K107" s="2" t="s">
        <v>188</v>
      </c>
      <c r="L107" t="s">
        <v>42</v>
      </c>
      <c r="M107" t="s">
        <v>78</v>
      </c>
      <c r="N107" t="s">
        <v>52</v>
      </c>
      <c r="O107">
        <v>3</v>
      </c>
      <c r="P107" t="s">
        <v>86</v>
      </c>
      <c r="Q107">
        <v>24</v>
      </c>
      <c r="R107" s="15">
        <v>249852</v>
      </c>
      <c r="S107" s="15">
        <v>936000</v>
      </c>
      <c r="T107" s="16">
        <v>5886148</v>
      </c>
      <c r="U107" t="str">
        <f t="shared" si="2"/>
        <v>no</v>
      </c>
      <c r="V107" t="str">
        <f t="shared" si="3"/>
        <v>standard</v>
      </c>
    </row>
    <row r="108" spans="1:22" x14ac:dyDescent="0.3">
      <c r="A108">
        <v>1107</v>
      </c>
      <c r="B108" t="s">
        <v>81</v>
      </c>
      <c r="C108" t="s">
        <v>21</v>
      </c>
      <c r="D108">
        <v>41</v>
      </c>
      <c r="E108" t="s">
        <v>112</v>
      </c>
      <c r="F108" t="s">
        <v>23</v>
      </c>
      <c r="G108" t="s">
        <v>56</v>
      </c>
      <c r="H108" t="s">
        <v>57</v>
      </c>
      <c r="I108" t="s">
        <v>97</v>
      </c>
      <c r="J108" t="s">
        <v>40</v>
      </c>
      <c r="K108" s="2" t="s">
        <v>189</v>
      </c>
      <c r="L108" t="s">
        <v>29</v>
      </c>
      <c r="M108" t="s">
        <v>43</v>
      </c>
      <c r="N108" t="s">
        <v>52</v>
      </c>
      <c r="O108">
        <v>2</v>
      </c>
      <c r="P108" t="s">
        <v>44</v>
      </c>
      <c r="Q108">
        <v>23</v>
      </c>
      <c r="R108" s="15">
        <v>149499</v>
      </c>
      <c r="S108" s="15">
        <v>936000</v>
      </c>
      <c r="T108" s="16">
        <v>5986501</v>
      </c>
      <c r="U108" t="str">
        <f t="shared" si="2"/>
        <v>no</v>
      </c>
      <c r="V108" t="str">
        <f t="shared" si="3"/>
        <v>standard</v>
      </c>
    </row>
    <row r="109" spans="1:22" x14ac:dyDescent="0.3">
      <c r="A109">
        <v>1108</v>
      </c>
      <c r="B109" t="s">
        <v>104</v>
      </c>
      <c r="C109" t="s">
        <v>34</v>
      </c>
      <c r="D109">
        <v>53</v>
      </c>
      <c r="E109" t="s">
        <v>35</v>
      </c>
      <c r="F109" t="s">
        <v>55</v>
      </c>
      <c r="G109" t="s">
        <v>115</v>
      </c>
      <c r="H109" t="s">
        <v>106</v>
      </c>
      <c r="I109" t="s">
        <v>76</v>
      </c>
      <c r="J109" t="s">
        <v>27</v>
      </c>
      <c r="K109" s="2" t="s">
        <v>190</v>
      </c>
      <c r="L109" t="s">
        <v>29</v>
      </c>
      <c r="M109" t="s">
        <v>51</v>
      </c>
      <c r="N109" t="s">
        <v>52</v>
      </c>
      <c r="O109">
        <v>4</v>
      </c>
      <c r="P109" t="s">
        <v>86</v>
      </c>
      <c r="Q109">
        <v>11</v>
      </c>
      <c r="R109" s="15">
        <v>122251</v>
      </c>
      <c r="S109" s="15">
        <v>1764000</v>
      </c>
      <c r="T109" s="16">
        <v>11441749</v>
      </c>
      <c r="U109" t="str">
        <f t="shared" si="2"/>
        <v>yes</v>
      </c>
      <c r="V109" t="str">
        <f t="shared" si="3"/>
        <v>premium</v>
      </c>
    </row>
    <row r="110" spans="1:22" x14ac:dyDescent="0.3">
      <c r="A110">
        <v>1109</v>
      </c>
      <c r="B110" t="s">
        <v>45</v>
      </c>
      <c r="C110" t="s">
        <v>34</v>
      </c>
      <c r="D110">
        <v>30</v>
      </c>
      <c r="E110" t="s">
        <v>35</v>
      </c>
      <c r="F110" t="s">
        <v>55</v>
      </c>
      <c r="G110" t="s">
        <v>63</v>
      </c>
      <c r="H110" t="s">
        <v>64</v>
      </c>
      <c r="I110" t="s">
        <v>48</v>
      </c>
      <c r="J110" t="s">
        <v>49</v>
      </c>
      <c r="K110" s="2" t="s">
        <v>191</v>
      </c>
      <c r="L110" t="s">
        <v>66</v>
      </c>
      <c r="M110" t="s">
        <v>30</v>
      </c>
      <c r="N110" t="s">
        <v>31</v>
      </c>
      <c r="O110">
        <v>3</v>
      </c>
      <c r="P110" t="s">
        <v>44</v>
      </c>
      <c r="Q110">
        <v>6</v>
      </c>
      <c r="R110" s="15">
        <v>115371</v>
      </c>
      <c r="S110" s="15">
        <v>1764000</v>
      </c>
      <c r="T110" s="16">
        <v>11448629</v>
      </c>
      <c r="U110" t="str">
        <f t="shared" si="2"/>
        <v>yes</v>
      </c>
      <c r="V110" t="str">
        <f t="shared" si="3"/>
        <v>premium</v>
      </c>
    </row>
    <row r="111" spans="1:22" x14ac:dyDescent="0.3">
      <c r="A111">
        <v>1110</v>
      </c>
      <c r="B111" t="s">
        <v>81</v>
      </c>
      <c r="C111" t="s">
        <v>34</v>
      </c>
      <c r="D111">
        <v>31</v>
      </c>
      <c r="E111" t="s">
        <v>112</v>
      </c>
      <c r="F111" t="s">
        <v>55</v>
      </c>
      <c r="G111" t="s">
        <v>74</v>
      </c>
      <c r="H111" t="s">
        <v>75</v>
      </c>
      <c r="I111" t="s">
        <v>97</v>
      </c>
      <c r="J111" t="s">
        <v>49</v>
      </c>
      <c r="K111" s="2" t="s">
        <v>192</v>
      </c>
      <c r="L111" t="s">
        <v>66</v>
      </c>
      <c r="M111" t="s">
        <v>30</v>
      </c>
      <c r="N111" t="s">
        <v>52</v>
      </c>
      <c r="O111">
        <v>5</v>
      </c>
      <c r="P111" t="s">
        <v>44</v>
      </c>
      <c r="Q111">
        <v>23</v>
      </c>
      <c r="R111" s="15">
        <v>71674</v>
      </c>
      <c r="S111" s="15">
        <v>936000</v>
      </c>
      <c r="T111" s="16">
        <v>6064326</v>
      </c>
      <c r="U111" t="str">
        <f t="shared" si="2"/>
        <v>no</v>
      </c>
      <c r="V111" t="str">
        <f t="shared" si="3"/>
        <v>standard</v>
      </c>
    </row>
    <row r="112" spans="1:22" x14ac:dyDescent="0.3">
      <c r="A112">
        <v>1111</v>
      </c>
      <c r="B112" t="s">
        <v>99</v>
      </c>
      <c r="C112" t="s">
        <v>21</v>
      </c>
      <c r="D112">
        <v>31</v>
      </c>
      <c r="E112" t="s">
        <v>73</v>
      </c>
      <c r="F112" t="s">
        <v>55</v>
      </c>
      <c r="G112" t="s">
        <v>47</v>
      </c>
      <c r="H112" t="s">
        <v>25</v>
      </c>
      <c r="I112" t="s">
        <v>97</v>
      </c>
      <c r="J112" t="s">
        <v>27</v>
      </c>
      <c r="K112" s="2" t="s">
        <v>193</v>
      </c>
      <c r="L112" t="s">
        <v>59</v>
      </c>
      <c r="M112" t="s">
        <v>51</v>
      </c>
      <c r="N112" t="s">
        <v>52</v>
      </c>
      <c r="O112">
        <v>4</v>
      </c>
      <c r="P112" t="s">
        <v>44</v>
      </c>
      <c r="Q112">
        <v>19</v>
      </c>
      <c r="R112" s="15">
        <v>295396</v>
      </c>
      <c r="S112" s="15">
        <v>1224000</v>
      </c>
      <c r="T112" s="16">
        <v>7728604</v>
      </c>
      <c r="U112" t="str">
        <f t="shared" si="2"/>
        <v>no</v>
      </c>
      <c r="V112" t="str">
        <f t="shared" si="3"/>
        <v>standard</v>
      </c>
    </row>
    <row r="113" spans="1:22" x14ac:dyDescent="0.3">
      <c r="A113">
        <v>1112</v>
      </c>
      <c r="B113" t="s">
        <v>54</v>
      </c>
      <c r="C113" t="s">
        <v>34</v>
      </c>
      <c r="D113">
        <v>29</v>
      </c>
      <c r="E113" t="s">
        <v>90</v>
      </c>
      <c r="F113" t="s">
        <v>62</v>
      </c>
      <c r="G113" t="s">
        <v>56</v>
      </c>
      <c r="H113" t="s">
        <v>57</v>
      </c>
      <c r="I113" t="s">
        <v>76</v>
      </c>
      <c r="J113" t="s">
        <v>40</v>
      </c>
      <c r="K113" s="2" t="s">
        <v>194</v>
      </c>
      <c r="L113" t="s">
        <v>71</v>
      </c>
      <c r="M113" t="s">
        <v>51</v>
      </c>
      <c r="N113" t="s">
        <v>31</v>
      </c>
      <c r="O113">
        <v>3</v>
      </c>
      <c r="P113" t="s">
        <v>44</v>
      </c>
      <c r="Q113">
        <v>14</v>
      </c>
      <c r="R113" s="15">
        <v>260635</v>
      </c>
      <c r="S113" s="15">
        <v>702000</v>
      </c>
      <c r="T113" s="16">
        <v>4341365</v>
      </c>
      <c r="U113" t="str">
        <f t="shared" si="2"/>
        <v>no</v>
      </c>
      <c r="V113" t="str">
        <f t="shared" si="3"/>
        <v>budget</v>
      </c>
    </row>
    <row r="114" spans="1:22" x14ac:dyDescent="0.3">
      <c r="A114">
        <v>1113</v>
      </c>
      <c r="B114" t="s">
        <v>81</v>
      </c>
      <c r="C114" t="s">
        <v>21</v>
      </c>
      <c r="D114">
        <v>41</v>
      </c>
      <c r="E114" t="s">
        <v>90</v>
      </c>
      <c r="F114" t="s">
        <v>62</v>
      </c>
      <c r="G114" t="s">
        <v>105</v>
      </c>
      <c r="H114" t="s">
        <v>106</v>
      </c>
      <c r="I114" t="s">
        <v>76</v>
      </c>
      <c r="J114" t="s">
        <v>40</v>
      </c>
      <c r="K114" s="2" t="s">
        <v>70</v>
      </c>
      <c r="L114" t="s">
        <v>59</v>
      </c>
      <c r="M114" t="s">
        <v>51</v>
      </c>
      <c r="N114" t="s">
        <v>52</v>
      </c>
      <c r="O114">
        <v>4</v>
      </c>
      <c r="P114" t="s">
        <v>53</v>
      </c>
      <c r="Q114">
        <v>20</v>
      </c>
      <c r="R114" s="15">
        <v>143853</v>
      </c>
      <c r="S114" s="15">
        <v>702000</v>
      </c>
      <c r="T114" s="16">
        <v>4458147</v>
      </c>
      <c r="U114" t="str">
        <f t="shared" si="2"/>
        <v>no</v>
      </c>
      <c r="V114" t="str">
        <f t="shared" si="3"/>
        <v>budget</v>
      </c>
    </row>
    <row r="115" spans="1:22" x14ac:dyDescent="0.3">
      <c r="A115">
        <v>1114</v>
      </c>
      <c r="B115" t="s">
        <v>108</v>
      </c>
      <c r="C115" t="s">
        <v>21</v>
      </c>
      <c r="D115">
        <v>29</v>
      </c>
      <c r="E115" t="s">
        <v>112</v>
      </c>
      <c r="F115" t="s">
        <v>62</v>
      </c>
      <c r="G115" t="s">
        <v>47</v>
      </c>
      <c r="H115" t="s">
        <v>25</v>
      </c>
      <c r="I115" t="s">
        <v>76</v>
      </c>
      <c r="J115" t="s">
        <v>27</v>
      </c>
      <c r="K115" s="2" t="s">
        <v>195</v>
      </c>
      <c r="L115" t="s">
        <v>42</v>
      </c>
      <c r="M115" t="s">
        <v>30</v>
      </c>
      <c r="N115" t="s">
        <v>31</v>
      </c>
      <c r="O115">
        <v>2</v>
      </c>
      <c r="P115" t="s">
        <v>53</v>
      </c>
      <c r="Q115">
        <v>15</v>
      </c>
      <c r="R115" s="15">
        <v>198759</v>
      </c>
      <c r="S115" s="15">
        <v>936000</v>
      </c>
      <c r="T115" s="16">
        <v>5937241</v>
      </c>
      <c r="U115" t="str">
        <f t="shared" si="2"/>
        <v>no</v>
      </c>
      <c r="V115" t="str">
        <f t="shared" si="3"/>
        <v>standard</v>
      </c>
    </row>
    <row r="116" spans="1:22" x14ac:dyDescent="0.3">
      <c r="A116">
        <v>1115</v>
      </c>
      <c r="B116" t="s">
        <v>60</v>
      </c>
      <c r="C116" t="s">
        <v>34</v>
      </c>
      <c r="D116">
        <v>59</v>
      </c>
      <c r="E116" t="s">
        <v>112</v>
      </c>
      <c r="F116" t="s">
        <v>36</v>
      </c>
      <c r="G116" t="s">
        <v>24</v>
      </c>
      <c r="H116" t="s">
        <v>25</v>
      </c>
      <c r="I116" t="s">
        <v>48</v>
      </c>
      <c r="J116" t="s">
        <v>87</v>
      </c>
      <c r="K116" s="2" t="s">
        <v>196</v>
      </c>
      <c r="L116" t="s">
        <v>59</v>
      </c>
      <c r="M116" t="s">
        <v>51</v>
      </c>
      <c r="N116" t="s">
        <v>31</v>
      </c>
      <c r="O116">
        <v>5</v>
      </c>
      <c r="P116" t="s">
        <v>86</v>
      </c>
      <c r="Q116">
        <v>7</v>
      </c>
      <c r="R116" s="15">
        <v>299704</v>
      </c>
      <c r="S116" s="15">
        <v>936000</v>
      </c>
      <c r="T116" s="16">
        <v>5836296</v>
      </c>
      <c r="U116" t="str">
        <f t="shared" si="2"/>
        <v>no</v>
      </c>
      <c r="V116" t="str">
        <f t="shared" si="3"/>
        <v>standard</v>
      </c>
    </row>
    <row r="117" spans="1:22" x14ac:dyDescent="0.3">
      <c r="A117">
        <v>1116</v>
      </c>
      <c r="B117" t="s">
        <v>81</v>
      </c>
      <c r="C117" t="s">
        <v>21</v>
      </c>
      <c r="D117">
        <v>47</v>
      </c>
      <c r="E117" t="s">
        <v>73</v>
      </c>
      <c r="F117" t="s">
        <v>62</v>
      </c>
      <c r="G117" t="s">
        <v>115</v>
      </c>
      <c r="H117" t="s">
        <v>106</v>
      </c>
      <c r="I117" t="s">
        <v>26</v>
      </c>
      <c r="J117" t="s">
        <v>40</v>
      </c>
      <c r="K117" s="2" t="s">
        <v>197</v>
      </c>
      <c r="L117" t="s">
        <v>66</v>
      </c>
      <c r="M117" t="s">
        <v>30</v>
      </c>
      <c r="N117" t="s">
        <v>52</v>
      </c>
      <c r="O117">
        <v>2</v>
      </c>
      <c r="P117" t="s">
        <v>86</v>
      </c>
      <c r="Q117">
        <v>21</v>
      </c>
      <c r="R117" s="15">
        <v>166083</v>
      </c>
      <c r="S117" s="15">
        <v>1224000</v>
      </c>
      <c r="T117" s="16">
        <v>7857917</v>
      </c>
      <c r="U117" t="str">
        <f t="shared" si="2"/>
        <v>no</v>
      </c>
      <c r="V117" t="str">
        <f t="shared" si="3"/>
        <v>standard</v>
      </c>
    </row>
    <row r="118" spans="1:22" x14ac:dyDescent="0.3">
      <c r="A118">
        <v>1117</v>
      </c>
      <c r="B118" t="s">
        <v>114</v>
      </c>
      <c r="C118" t="s">
        <v>21</v>
      </c>
      <c r="D118">
        <v>33</v>
      </c>
      <c r="E118" t="s">
        <v>90</v>
      </c>
      <c r="F118" t="s">
        <v>62</v>
      </c>
      <c r="G118" t="s">
        <v>37</v>
      </c>
      <c r="H118" t="s">
        <v>38</v>
      </c>
      <c r="I118" t="s">
        <v>48</v>
      </c>
      <c r="J118" t="s">
        <v>87</v>
      </c>
      <c r="K118" s="2" t="s">
        <v>198</v>
      </c>
      <c r="L118" t="s">
        <v>71</v>
      </c>
      <c r="M118" t="s">
        <v>51</v>
      </c>
      <c r="N118" t="s">
        <v>31</v>
      </c>
      <c r="O118">
        <v>2</v>
      </c>
      <c r="P118" t="s">
        <v>86</v>
      </c>
      <c r="Q118">
        <v>16</v>
      </c>
      <c r="R118" s="15">
        <v>91931</v>
      </c>
      <c r="S118" s="15">
        <v>702000</v>
      </c>
      <c r="T118" s="16">
        <v>4510069</v>
      </c>
      <c r="U118" t="str">
        <f t="shared" si="2"/>
        <v>no</v>
      </c>
      <c r="V118" t="str">
        <f t="shared" si="3"/>
        <v>standard</v>
      </c>
    </row>
    <row r="119" spans="1:22" x14ac:dyDescent="0.3">
      <c r="A119">
        <v>1118</v>
      </c>
      <c r="B119" t="s">
        <v>114</v>
      </c>
      <c r="C119" t="s">
        <v>34</v>
      </c>
      <c r="D119">
        <v>35</v>
      </c>
      <c r="E119" t="s">
        <v>61</v>
      </c>
      <c r="F119" t="s">
        <v>23</v>
      </c>
      <c r="G119" t="s">
        <v>56</v>
      </c>
      <c r="H119" t="s">
        <v>57</v>
      </c>
      <c r="I119" t="s">
        <v>39</v>
      </c>
      <c r="J119" t="s">
        <v>49</v>
      </c>
      <c r="K119" s="2" t="s">
        <v>199</v>
      </c>
      <c r="L119" t="s">
        <v>42</v>
      </c>
      <c r="M119" t="s">
        <v>43</v>
      </c>
      <c r="N119" t="s">
        <v>31</v>
      </c>
      <c r="O119">
        <v>5</v>
      </c>
      <c r="P119" t="s">
        <v>32</v>
      </c>
      <c r="Q119">
        <v>5</v>
      </c>
      <c r="R119" s="15">
        <v>80695</v>
      </c>
      <c r="S119" s="15">
        <v>2250000</v>
      </c>
      <c r="T119" s="16">
        <v>14669305</v>
      </c>
      <c r="U119" t="str">
        <f t="shared" si="2"/>
        <v>no</v>
      </c>
      <c r="V119" t="str">
        <f t="shared" si="3"/>
        <v>premium</v>
      </c>
    </row>
    <row r="120" spans="1:22" x14ac:dyDescent="0.3">
      <c r="A120">
        <v>1119</v>
      </c>
      <c r="B120" t="s">
        <v>114</v>
      </c>
      <c r="C120" t="s">
        <v>21</v>
      </c>
      <c r="D120">
        <v>27</v>
      </c>
      <c r="E120" t="s">
        <v>46</v>
      </c>
      <c r="F120" t="s">
        <v>62</v>
      </c>
      <c r="G120" t="s">
        <v>37</v>
      </c>
      <c r="H120" t="s">
        <v>38</v>
      </c>
      <c r="I120" t="s">
        <v>48</v>
      </c>
      <c r="J120" t="s">
        <v>27</v>
      </c>
      <c r="K120" s="2" t="s">
        <v>200</v>
      </c>
      <c r="L120" t="s">
        <v>71</v>
      </c>
      <c r="M120" t="s">
        <v>51</v>
      </c>
      <c r="N120" t="s">
        <v>52</v>
      </c>
      <c r="O120">
        <v>4</v>
      </c>
      <c r="P120" t="s">
        <v>86</v>
      </c>
      <c r="Q120">
        <v>24</v>
      </c>
      <c r="R120" s="15">
        <v>254092</v>
      </c>
      <c r="S120" s="15">
        <v>5760000</v>
      </c>
      <c r="T120" s="16">
        <v>37505908</v>
      </c>
      <c r="U120" t="str">
        <f t="shared" si="2"/>
        <v>yes</v>
      </c>
      <c r="V120" t="str">
        <f t="shared" si="3"/>
        <v>ultra premium</v>
      </c>
    </row>
    <row r="121" spans="1:22" x14ac:dyDescent="0.3">
      <c r="A121">
        <v>1120</v>
      </c>
      <c r="B121" t="s">
        <v>54</v>
      </c>
      <c r="C121" t="s">
        <v>34</v>
      </c>
      <c r="D121">
        <v>31</v>
      </c>
      <c r="E121" t="s">
        <v>112</v>
      </c>
      <c r="F121" t="s">
        <v>23</v>
      </c>
      <c r="G121" t="s">
        <v>63</v>
      </c>
      <c r="H121" t="s">
        <v>64</v>
      </c>
      <c r="I121" t="s">
        <v>48</v>
      </c>
      <c r="J121" t="s">
        <v>40</v>
      </c>
      <c r="K121" s="2" t="s">
        <v>147</v>
      </c>
      <c r="L121" t="s">
        <v>42</v>
      </c>
      <c r="M121" t="s">
        <v>51</v>
      </c>
      <c r="N121" t="s">
        <v>52</v>
      </c>
      <c r="O121">
        <v>3</v>
      </c>
      <c r="P121" t="s">
        <v>53</v>
      </c>
      <c r="Q121">
        <v>20</v>
      </c>
      <c r="R121" s="15">
        <v>291206</v>
      </c>
      <c r="S121" s="15">
        <v>936000</v>
      </c>
      <c r="T121" s="16">
        <v>5844794</v>
      </c>
      <c r="U121" t="str">
        <f t="shared" si="2"/>
        <v>no</v>
      </c>
      <c r="V121" t="str">
        <f t="shared" si="3"/>
        <v>standard</v>
      </c>
    </row>
    <row r="122" spans="1:22" x14ac:dyDescent="0.3">
      <c r="A122">
        <v>1121</v>
      </c>
      <c r="B122" t="s">
        <v>20</v>
      </c>
      <c r="C122" t="s">
        <v>34</v>
      </c>
      <c r="D122">
        <v>25</v>
      </c>
      <c r="E122" t="s">
        <v>46</v>
      </c>
      <c r="F122" t="s">
        <v>55</v>
      </c>
      <c r="G122" t="s">
        <v>74</v>
      </c>
      <c r="H122" t="s">
        <v>75</v>
      </c>
      <c r="I122" t="s">
        <v>97</v>
      </c>
      <c r="J122" t="s">
        <v>40</v>
      </c>
      <c r="K122" s="2" t="s">
        <v>201</v>
      </c>
      <c r="L122" t="s">
        <v>29</v>
      </c>
      <c r="M122" t="s">
        <v>43</v>
      </c>
      <c r="N122" t="s">
        <v>31</v>
      </c>
      <c r="O122">
        <v>2</v>
      </c>
      <c r="P122" t="s">
        <v>32</v>
      </c>
      <c r="Q122">
        <v>19</v>
      </c>
      <c r="R122" s="15">
        <v>215082</v>
      </c>
      <c r="S122" s="15">
        <v>5760000</v>
      </c>
      <c r="T122" s="16">
        <v>37544918</v>
      </c>
      <c r="U122" t="str">
        <f t="shared" si="2"/>
        <v>yes</v>
      </c>
      <c r="V122" t="str">
        <f t="shared" si="3"/>
        <v>ultra premium</v>
      </c>
    </row>
    <row r="123" spans="1:22" x14ac:dyDescent="0.3">
      <c r="A123">
        <v>1122</v>
      </c>
      <c r="B123" t="s">
        <v>45</v>
      </c>
      <c r="C123" t="s">
        <v>21</v>
      </c>
      <c r="D123">
        <v>50</v>
      </c>
      <c r="E123" t="s">
        <v>46</v>
      </c>
      <c r="F123" t="s">
        <v>23</v>
      </c>
      <c r="G123" t="s">
        <v>74</v>
      </c>
      <c r="H123" t="s">
        <v>75</v>
      </c>
      <c r="I123" t="s">
        <v>39</v>
      </c>
      <c r="J123" t="s">
        <v>40</v>
      </c>
      <c r="K123" s="2" t="s">
        <v>202</v>
      </c>
      <c r="L123" t="s">
        <v>66</v>
      </c>
      <c r="M123" t="s">
        <v>30</v>
      </c>
      <c r="N123" t="s">
        <v>31</v>
      </c>
      <c r="O123">
        <v>5</v>
      </c>
      <c r="P123" t="s">
        <v>32</v>
      </c>
      <c r="Q123">
        <v>8</v>
      </c>
      <c r="R123" s="15">
        <v>259196</v>
      </c>
      <c r="S123" s="15">
        <v>5760000</v>
      </c>
      <c r="T123" s="16">
        <v>37500804</v>
      </c>
      <c r="U123" t="str">
        <f t="shared" si="2"/>
        <v>yes</v>
      </c>
      <c r="V123" t="str">
        <f t="shared" si="3"/>
        <v>ultra premium</v>
      </c>
    </row>
    <row r="124" spans="1:22" x14ac:dyDescent="0.3">
      <c r="A124">
        <v>1123</v>
      </c>
      <c r="B124" t="s">
        <v>108</v>
      </c>
      <c r="C124" t="s">
        <v>34</v>
      </c>
      <c r="D124">
        <v>26</v>
      </c>
      <c r="E124" t="s">
        <v>46</v>
      </c>
      <c r="F124" t="s">
        <v>62</v>
      </c>
      <c r="G124" t="s">
        <v>56</v>
      </c>
      <c r="H124" t="s">
        <v>57</v>
      </c>
      <c r="I124" t="s">
        <v>76</v>
      </c>
      <c r="J124" t="s">
        <v>40</v>
      </c>
      <c r="K124" s="2" t="s">
        <v>121</v>
      </c>
      <c r="L124" t="s">
        <v>71</v>
      </c>
      <c r="M124" t="s">
        <v>43</v>
      </c>
      <c r="N124" t="s">
        <v>31</v>
      </c>
      <c r="O124">
        <v>5</v>
      </c>
      <c r="P124" t="s">
        <v>86</v>
      </c>
      <c r="Q124">
        <v>24</v>
      </c>
      <c r="R124" s="15">
        <v>66037</v>
      </c>
      <c r="S124" s="15">
        <v>5760000</v>
      </c>
      <c r="T124" s="16">
        <v>37693963</v>
      </c>
      <c r="U124" t="str">
        <f t="shared" si="2"/>
        <v>yes</v>
      </c>
      <c r="V124" t="str">
        <f t="shared" si="3"/>
        <v>ultra premium</v>
      </c>
    </row>
    <row r="125" spans="1:22" x14ac:dyDescent="0.3">
      <c r="A125">
        <v>1124</v>
      </c>
      <c r="B125" t="s">
        <v>67</v>
      </c>
      <c r="C125" t="s">
        <v>34</v>
      </c>
      <c r="D125">
        <v>44</v>
      </c>
      <c r="E125" t="s">
        <v>46</v>
      </c>
      <c r="F125" t="s">
        <v>62</v>
      </c>
      <c r="G125" t="s">
        <v>47</v>
      </c>
      <c r="H125" t="s">
        <v>25</v>
      </c>
      <c r="I125" t="s">
        <v>76</v>
      </c>
      <c r="J125" t="s">
        <v>87</v>
      </c>
      <c r="K125" s="2" t="s">
        <v>203</v>
      </c>
      <c r="L125" t="s">
        <v>29</v>
      </c>
      <c r="M125" t="s">
        <v>43</v>
      </c>
      <c r="N125" t="s">
        <v>52</v>
      </c>
      <c r="O125">
        <v>4</v>
      </c>
      <c r="P125" t="s">
        <v>86</v>
      </c>
      <c r="Q125">
        <v>21</v>
      </c>
      <c r="R125" s="15">
        <v>183254</v>
      </c>
      <c r="S125" s="15">
        <v>5760000</v>
      </c>
      <c r="T125" s="16">
        <v>37576746</v>
      </c>
      <c r="U125" t="str">
        <f t="shared" si="2"/>
        <v>yes</v>
      </c>
      <c r="V125" t="str">
        <f t="shared" si="3"/>
        <v>ultra premium</v>
      </c>
    </row>
    <row r="126" spans="1:22" x14ac:dyDescent="0.3">
      <c r="A126">
        <v>1125</v>
      </c>
      <c r="B126" t="s">
        <v>101</v>
      </c>
      <c r="C126" t="s">
        <v>34</v>
      </c>
      <c r="D126">
        <v>49</v>
      </c>
      <c r="E126" t="s">
        <v>112</v>
      </c>
      <c r="F126" t="s">
        <v>36</v>
      </c>
      <c r="G126" t="s">
        <v>24</v>
      </c>
      <c r="H126" t="s">
        <v>25</v>
      </c>
      <c r="I126" t="s">
        <v>76</v>
      </c>
      <c r="J126" t="s">
        <v>87</v>
      </c>
      <c r="K126" s="2" t="s">
        <v>204</v>
      </c>
      <c r="L126" t="s">
        <v>66</v>
      </c>
      <c r="M126" t="s">
        <v>78</v>
      </c>
      <c r="N126" t="s">
        <v>52</v>
      </c>
      <c r="O126">
        <v>4</v>
      </c>
      <c r="P126" t="s">
        <v>32</v>
      </c>
      <c r="Q126">
        <v>21</v>
      </c>
      <c r="R126" s="15">
        <v>171942</v>
      </c>
      <c r="S126" s="15">
        <v>936000</v>
      </c>
      <c r="T126" s="16">
        <v>5964058</v>
      </c>
      <c r="U126" t="str">
        <f t="shared" si="2"/>
        <v>no</v>
      </c>
      <c r="V126" t="str">
        <f t="shared" si="3"/>
        <v>standard</v>
      </c>
    </row>
    <row r="127" spans="1:22" x14ac:dyDescent="0.3">
      <c r="A127">
        <v>1126</v>
      </c>
      <c r="B127" t="s">
        <v>81</v>
      </c>
      <c r="C127" t="s">
        <v>21</v>
      </c>
      <c r="D127">
        <v>29</v>
      </c>
      <c r="E127" t="s">
        <v>73</v>
      </c>
      <c r="F127" t="s">
        <v>55</v>
      </c>
      <c r="G127" t="s">
        <v>63</v>
      </c>
      <c r="H127" t="s">
        <v>64</v>
      </c>
      <c r="I127" t="s">
        <v>48</v>
      </c>
      <c r="J127" t="s">
        <v>49</v>
      </c>
      <c r="K127" s="2" t="s">
        <v>205</v>
      </c>
      <c r="L127" t="s">
        <v>29</v>
      </c>
      <c r="M127" t="s">
        <v>30</v>
      </c>
      <c r="N127" t="s">
        <v>52</v>
      </c>
      <c r="O127">
        <v>2</v>
      </c>
      <c r="P127" t="s">
        <v>32</v>
      </c>
      <c r="Q127">
        <v>7</v>
      </c>
      <c r="R127" s="15">
        <v>189811</v>
      </c>
      <c r="S127" s="15">
        <v>1224000</v>
      </c>
      <c r="T127" s="16">
        <v>7834189</v>
      </c>
      <c r="U127" t="str">
        <f t="shared" si="2"/>
        <v>no</v>
      </c>
      <c r="V127" t="str">
        <f t="shared" si="3"/>
        <v>standard</v>
      </c>
    </row>
    <row r="128" spans="1:22" x14ac:dyDescent="0.3">
      <c r="A128">
        <v>1127</v>
      </c>
      <c r="B128" t="s">
        <v>104</v>
      </c>
      <c r="C128" t="s">
        <v>21</v>
      </c>
      <c r="D128">
        <v>38</v>
      </c>
      <c r="E128" t="s">
        <v>61</v>
      </c>
      <c r="F128" t="s">
        <v>62</v>
      </c>
      <c r="G128" t="s">
        <v>105</v>
      </c>
      <c r="H128" t="s">
        <v>106</v>
      </c>
      <c r="I128" t="s">
        <v>97</v>
      </c>
      <c r="J128" t="s">
        <v>27</v>
      </c>
      <c r="K128" s="2" t="s">
        <v>206</v>
      </c>
      <c r="L128" t="s">
        <v>71</v>
      </c>
      <c r="M128" t="s">
        <v>43</v>
      </c>
      <c r="N128" t="s">
        <v>52</v>
      </c>
      <c r="O128">
        <v>2</v>
      </c>
      <c r="P128" t="s">
        <v>86</v>
      </c>
      <c r="Q128">
        <v>12</v>
      </c>
      <c r="R128" s="15">
        <v>53045</v>
      </c>
      <c r="S128" s="15">
        <v>2250000</v>
      </c>
      <c r="T128" s="16">
        <v>14696955</v>
      </c>
      <c r="U128" t="str">
        <f t="shared" si="2"/>
        <v>no</v>
      </c>
      <c r="V128" t="str">
        <f t="shared" si="3"/>
        <v>premium</v>
      </c>
    </row>
    <row r="129" spans="1:22" x14ac:dyDescent="0.3">
      <c r="A129">
        <v>1128</v>
      </c>
      <c r="B129" t="s">
        <v>67</v>
      </c>
      <c r="C129" t="s">
        <v>34</v>
      </c>
      <c r="D129">
        <v>48</v>
      </c>
      <c r="E129" t="s">
        <v>90</v>
      </c>
      <c r="F129" t="s">
        <v>55</v>
      </c>
      <c r="G129" t="s">
        <v>63</v>
      </c>
      <c r="H129" t="s">
        <v>64</v>
      </c>
      <c r="I129" t="s">
        <v>76</v>
      </c>
      <c r="J129" t="s">
        <v>49</v>
      </c>
      <c r="K129" s="2" t="s">
        <v>207</v>
      </c>
      <c r="L129" t="s">
        <v>71</v>
      </c>
      <c r="M129" t="s">
        <v>30</v>
      </c>
      <c r="N129" t="s">
        <v>31</v>
      </c>
      <c r="O129">
        <v>5</v>
      </c>
      <c r="P129" t="s">
        <v>44</v>
      </c>
      <c r="Q129">
        <v>14</v>
      </c>
      <c r="R129" s="15">
        <v>199318</v>
      </c>
      <c r="S129" s="15">
        <v>702000</v>
      </c>
      <c r="T129" s="16">
        <v>4402682</v>
      </c>
      <c r="U129" t="str">
        <f t="shared" si="2"/>
        <v>no</v>
      </c>
      <c r="V129" t="str">
        <f t="shared" si="3"/>
        <v>budget</v>
      </c>
    </row>
    <row r="130" spans="1:22" x14ac:dyDescent="0.3">
      <c r="A130">
        <v>1129</v>
      </c>
      <c r="B130" t="s">
        <v>20</v>
      </c>
      <c r="C130" t="s">
        <v>21</v>
      </c>
      <c r="D130">
        <v>43</v>
      </c>
      <c r="E130" t="s">
        <v>35</v>
      </c>
      <c r="F130" t="s">
        <v>23</v>
      </c>
      <c r="G130" t="s">
        <v>37</v>
      </c>
      <c r="H130" t="s">
        <v>38</v>
      </c>
      <c r="I130" t="s">
        <v>48</v>
      </c>
      <c r="J130" t="s">
        <v>40</v>
      </c>
      <c r="K130" s="2" t="s">
        <v>208</v>
      </c>
      <c r="L130" t="s">
        <v>59</v>
      </c>
      <c r="M130" t="s">
        <v>51</v>
      </c>
      <c r="N130" t="s">
        <v>31</v>
      </c>
      <c r="O130">
        <v>5</v>
      </c>
      <c r="P130" t="s">
        <v>86</v>
      </c>
      <c r="Q130">
        <v>13</v>
      </c>
      <c r="R130" s="15">
        <v>88162</v>
      </c>
      <c r="S130" s="15">
        <v>1764000</v>
      </c>
      <c r="T130" s="16">
        <v>11475838</v>
      </c>
      <c r="U130" t="str">
        <f t="shared" si="2"/>
        <v>yes</v>
      </c>
      <c r="V130" t="str">
        <f t="shared" si="3"/>
        <v>premium</v>
      </c>
    </row>
    <row r="131" spans="1:22" x14ac:dyDescent="0.3">
      <c r="A131">
        <v>1130</v>
      </c>
      <c r="B131" t="s">
        <v>104</v>
      </c>
      <c r="C131" t="s">
        <v>21</v>
      </c>
      <c r="D131">
        <v>25</v>
      </c>
      <c r="E131" t="s">
        <v>82</v>
      </c>
      <c r="F131" t="s">
        <v>36</v>
      </c>
      <c r="G131" t="s">
        <v>63</v>
      </c>
      <c r="H131" t="s">
        <v>64</v>
      </c>
      <c r="I131" t="s">
        <v>26</v>
      </c>
      <c r="J131" t="s">
        <v>87</v>
      </c>
      <c r="K131" s="2" t="s">
        <v>147</v>
      </c>
      <c r="L131" t="s">
        <v>59</v>
      </c>
      <c r="M131" t="s">
        <v>43</v>
      </c>
      <c r="N131" t="s">
        <v>31</v>
      </c>
      <c r="O131">
        <v>3</v>
      </c>
      <c r="P131" t="s">
        <v>32</v>
      </c>
      <c r="Q131">
        <v>23</v>
      </c>
      <c r="R131" s="15">
        <v>297073</v>
      </c>
      <c r="S131" s="15">
        <v>1098000</v>
      </c>
      <c r="T131" s="16">
        <v>6900927</v>
      </c>
      <c r="U131" t="str">
        <f t="shared" ref="U131:U194" si="4">IF(OR(E131="AMG C43",E131="AMG G63"),"yes","no")</f>
        <v>no</v>
      </c>
      <c r="V131" t="str">
        <f t="shared" ref="V131:V194" si="5">IF(T131&gt;=20000000,"ultra premium",IF(T131&gt;=10000000,"premium",IF(T131&gt;=4500000,"standard","budget")))</f>
        <v>standard</v>
      </c>
    </row>
    <row r="132" spans="1:22" x14ac:dyDescent="0.3">
      <c r="A132">
        <v>1131</v>
      </c>
      <c r="B132" t="s">
        <v>60</v>
      </c>
      <c r="C132" t="s">
        <v>34</v>
      </c>
      <c r="D132">
        <v>48</v>
      </c>
      <c r="E132" t="s">
        <v>118</v>
      </c>
      <c r="F132" t="s">
        <v>36</v>
      </c>
      <c r="G132" t="s">
        <v>47</v>
      </c>
      <c r="H132" t="s">
        <v>25</v>
      </c>
      <c r="I132" t="s">
        <v>76</v>
      </c>
      <c r="J132" t="s">
        <v>27</v>
      </c>
      <c r="K132" s="2" t="s">
        <v>209</v>
      </c>
      <c r="L132" t="s">
        <v>59</v>
      </c>
      <c r="M132" t="s">
        <v>51</v>
      </c>
      <c r="N132" t="s">
        <v>31</v>
      </c>
      <c r="O132">
        <v>5</v>
      </c>
      <c r="P132" t="s">
        <v>86</v>
      </c>
      <c r="Q132">
        <v>14</v>
      </c>
      <c r="R132" s="15">
        <v>114399</v>
      </c>
      <c r="S132" s="15">
        <v>1350000</v>
      </c>
      <c r="T132" s="16">
        <v>8735601</v>
      </c>
      <c r="U132" t="str">
        <f t="shared" si="4"/>
        <v>no</v>
      </c>
      <c r="V132" t="str">
        <f t="shared" si="5"/>
        <v>standard</v>
      </c>
    </row>
    <row r="133" spans="1:22" x14ac:dyDescent="0.3">
      <c r="A133">
        <v>1132</v>
      </c>
      <c r="B133" t="s">
        <v>45</v>
      </c>
      <c r="C133" t="s">
        <v>21</v>
      </c>
      <c r="D133">
        <v>60</v>
      </c>
      <c r="E133" t="s">
        <v>35</v>
      </c>
      <c r="F133" t="s">
        <v>23</v>
      </c>
      <c r="G133" t="s">
        <v>105</v>
      </c>
      <c r="H133" t="s">
        <v>106</v>
      </c>
      <c r="I133" t="s">
        <v>39</v>
      </c>
      <c r="J133" t="s">
        <v>87</v>
      </c>
      <c r="K133" s="2" t="s">
        <v>210</v>
      </c>
      <c r="L133" t="s">
        <v>59</v>
      </c>
      <c r="M133" t="s">
        <v>43</v>
      </c>
      <c r="N133" t="s">
        <v>31</v>
      </c>
      <c r="O133">
        <v>4</v>
      </c>
      <c r="P133" t="s">
        <v>53</v>
      </c>
      <c r="Q133">
        <v>25</v>
      </c>
      <c r="R133" s="15">
        <v>126741</v>
      </c>
      <c r="S133" s="15">
        <v>1764000</v>
      </c>
      <c r="T133" s="16">
        <v>11437259</v>
      </c>
      <c r="U133" t="str">
        <f t="shared" si="4"/>
        <v>yes</v>
      </c>
      <c r="V133" t="str">
        <f t="shared" si="5"/>
        <v>premium</v>
      </c>
    </row>
    <row r="134" spans="1:22" x14ac:dyDescent="0.3">
      <c r="A134">
        <v>1133</v>
      </c>
      <c r="B134" t="s">
        <v>99</v>
      </c>
      <c r="C134" t="s">
        <v>21</v>
      </c>
      <c r="D134">
        <v>38</v>
      </c>
      <c r="E134" t="s">
        <v>118</v>
      </c>
      <c r="F134" t="s">
        <v>23</v>
      </c>
      <c r="G134" t="s">
        <v>56</v>
      </c>
      <c r="H134" t="s">
        <v>57</v>
      </c>
      <c r="I134" t="s">
        <v>76</v>
      </c>
      <c r="J134" t="s">
        <v>49</v>
      </c>
      <c r="K134" s="2" t="s">
        <v>206</v>
      </c>
      <c r="L134" t="s">
        <v>42</v>
      </c>
      <c r="M134" t="s">
        <v>78</v>
      </c>
      <c r="N134" t="s">
        <v>31</v>
      </c>
      <c r="O134">
        <v>3</v>
      </c>
      <c r="P134" t="s">
        <v>86</v>
      </c>
      <c r="Q134">
        <v>9</v>
      </c>
      <c r="R134" s="15">
        <v>230820</v>
      </c>
      <c r="S134" s="15">
        <v>1350000</v>
      </c>
      <c r="T134" s="16">
        <v>8619180</v>
      </c>
      <c r="U134" t="str">
        <f t="shared" si="4"/>
        <v>no</v>
      </c>
      <c r="V134" t="str">
        <f t="shared" si="5"/>
        <v>standard</v>
      </c>
    </row>
    <row r="135" spans="1:22" x14ac:dyDescent="0.3">
      <c r="A135">
        <v>1134</v>
      </c>
      <c r="B135" t="s">
        <v>54</v>
      </c>
      <c r="C135" t="s">
        <v>21</v>
      </c>
      <c r="D135">
        <v>25</v>
      </c>
      <c r="E135" t="s">
        <v>90</v>
      </c>
      <c r="F135" t="s">
        <v>62</v>
      </c>
      <c r="G135" t="s">
        <v>56</v>
      </c>
      <c r="H135" t="s">
        <v>57</v>
      </c>
      <c r="I135" t="s">
        <v>39</v>
      </c>
      <c r="J135" t="s">
        <v>40</v>
      </c>
      <c r="K135" s="2" t="s">
        <v>211</v>
      </c>
      <c r="L135" t="s">
        <v>66</v>
      </c>
      <c r="M135" t="s">
        <v>51</v>
      </c>
      <c r="N135" t="s">
        <v>52</v>
      </c>
      <c r="O135">
        <v>3</v>
      </c>
      <c r="P135" t="s">
        <v>44</v>
      </c>
      <c r="Q135">
        <v>25</v>
      </c>
      <c r="R135" s="15">
        <v>294261</v>
      </c>
      <c r="S135" s="15">
        <v>702000</v>
      </c>
      <c r="T135" s="16">
        <v>4307739</v>
      </c>
      <c r="U135" t="str">
        <f t="shared" si="4"/>
        <v>no</v>
      </c>
      <c r="V135" t="str">
        <f t="shared" si="5"/>
        <v>budget</v>
      </c>
    </row>
    <row r="136" spans="1:22" x14ac:dyDescent="0.3">
      <c r="A136">
        <v>1135</v>
      </c>
      <c r="B136" t="s">
        <v>67</v>
      </c>
      <c r="C136" t="s">
        <v>21</v>
      </c>
      <c r="D136">
        <v>52</v>
      </c>
      <c r="E136" t="s">
        <v>82</v>
      </c>
      <c r="F136" t="s">
        <v>62</v>
      </c>
      <c r="G136" t="s">
        <v>56</v>
      </c>
      <c r="H136" t="s">
        <v>57</v>
      </c>
      <c r="I136" t="s">
        <v>48</v>
      </c>
      <c r="J136" t="s">
        <v>87</v>
      </c>
      <c r="K136" s="2" t="s">
        <v>212</v>
      </c>
      <c r="L136" t="s">
        <v>66</v>
      </c>
      <c r="M136" t="s">
        <v>94</v>
      </c>
      <c r="N136" t="s">
        <v>31</v>
      </c>
      <c r="O136">
        <v>5</v>
      </c>
      <c r="P136" t="s">
        <v>44</v>
      </c>
      <c r="Q136">
        <v>22</v>
      </c>
      <c r="R136" s="15">
        <v>249659</v>
      </c>
      <c r="S136" s="15">
        <v>1098000</v>
      </c>
      <c r="T136" s="16">
        <v>6948341</v>
      </c>
      <c r="U136" t="str">
        <f t="shared" si="4"/>
        <v>no</v>
      </c>
      <c r="V136" t="str">
        <f t="shared" si="5"/>
        <v>standard</v>
      </c>
    </row>
    <row r="137" spans="1:22" x14ac:dyDescent="0.3">
      <c r="A137">
        <v>1136</v>
      </c>
      <c r="B137" t="s">
        <v>108</v>
      </c>
      <c r="C137" t="s">
        <v>21</v>
      </c>
      <c r="D137">
        <v>33</v>
      </c>
      <c r="E137" t="s">
        <v>73</v>
      </c>
      <c r="F137" t="s">
        <v>23</v>
      </c>
      <c r="G137" t="s">
        <v>47</v>
      </c>
      <c r="H137" t="s">
        <v>25</v>
      </c>
      <c r="I137" t="s">
        <v>97</v>
      </c>
      <c r="J137" t="s">
        <v>49</v>
      </c>
      <c r="K137" s="2" t="s">
        <v>147</v>
      </c>
      <c r="L137" t="s">
        <v>59</v>
      </c>
      <c r="M137" t="s">
        <v>43</v>
      </c>
      <c r="N137" t="s">
        <v>31</v>
      </c>
      <c r="O137">
        <v>5</v>
      </c>
      <c r="P137" t="s">
        <v>53</v>
      </c>
      <c r="Q137">
        <v>20</v>
      </c>
      <c r="R137" s="15">
        <v>168730</v>
      </c>
      <c r="S137" s="15">
        <v>1224000</v>
      </c>
      <c r="T137" s="16">
        <v>7855270</v>
      </c>
      <c r="U137" t="str">
        <f t="shared" si="4"/>
        <v>no</v>
      </c>
      <c r="V137" t="str">
        <f t="shared" si="5"/>
        <v>standard</v>
      </c>
    </row>
    <row r="138" spans="1:22" x14ac:dyDescent="0.3">
      <c r="A138">
        <v>1137</v>
      </c>
      <c r="B138" t="s">
        <v>101</v>
      </c>
      <c r="C138" t="s">
        <v>21</v>
      </c>
      <c r="D138">
        <v>52</v>
      </c>
      <c r="E138" t="s">
        <v>68</v>
      </c>
      <c r="F138" t="s">
        <v>55</v>
      </c>
      <c r="G138" t="s">
        <v>105</v>
      </c>
      <c r="H138" t="s">
        <v>106</v>
      </c>
      <c r="I138" t="s">
        <v>97</v>
      </c>
      <c r="J138" t="s">
        <v>49</v>
      </c>
      <c r="K138" s="2" t="s">
        <v>117</v>
      </c>
      <c r="L138" t="s">
        <v>42</v>
      </c>
      <c r="M138" t="s">
        <v>51</v>
      </c>
      <c r="N138" t="s">
        <v>31</v>
      </c>
      <c r="O138">
        <v>3</v>
      </c>
      <c r="P138" t="s">
        <v>53</v>
      </c>
      <c r="Q138">
        <v>5</v>
      </c>
      <c r="R138" s="15">
        <v>168408</v>
      </c>
      <c r="S138" s="15">
        <v>846000</v>
      </c>
      <c r="T138" s="16">
        <v>5377592</v>
      </c>
      <c r="U138" t="str">
        <f t="shared" si="4"/>
        <v>no</v>
      </c>
      <c r="V138" t="str">
        <f t="shared" si="5"/>
        <v>standard</v>
      </c>
    </row>
    <row r="139" spans="1:22" x14ac:dyDescent="0.3">
      <c r="A139">
        <v>1138</v>
      </c>
      <c r="B139" t="s">
        <v>20</v>
      </c>
      <c r="C139" t="s">
        <v>34</v>
      </c>
      <c r="D139">
        <v>25</v>
      </c>
      <c r="E139" t="s">
        <v>118</v>
      </c>
      <c r="F139" t="s">
        <v>23</v>
      </c>
      <c r="G139" t="s">
        <v>105</v>
      </c>
      <c r="H139" t="s">
        <v>106</v>
      </c>
      <c r="I139" t="s">
        <v>97</v>
      </c>
      <c r="J139" t="s">
        <v>40</v>
      </c>
      <c r="K139" s="2" t="s">
        <v>213</v>
      </c>
      <c r="L139" t="s">
        <v>42</v>
      </c>
      <c r="M139" t="s">
        <v>94</v>
      </c>
      <c r="N139" t="s">
        <v>31</v>
      </c>
      <c r="O139">
        <v>3</v>
      </c>
      <c r="P139" t="s">
        <v>32</v>
      </c>
      <c r="Q139">
        <v>14</v>
      </c>
      <c r="R139" s="15">
        <v>258088</v>
      </c>
      <c r="S139" s="15">
        <v>1350000</v>
      </c>
      <c r="T139" s="16">
        <v>8591912</v>
      </c>
      <c r="U139" t="str">
        <f t="shared" si="4"/>
        <v>no</v>
      </c>
      <c r="V139" t="str">
        <f t="shared" si="5"/>
        <v>standard</v>
      </c>
    </row>
    <row r="140" spans="1:22" x14ac:dyDescent="0.3">
      <c r="A140">
        <v>1139</v>
      </c>
      <c r="B140" t="s">
        <v>114</v>
      </c>
      <c r="C140" t="s">
        <v>21</v>
      </c>
      <c r="D140">
        <v>39</v>
      </c>
      <c r="E140" t="s">
        <v>90</v>
      </c>
      <c r="F140" t="s">
        <v>23</v>
      </c>
      <c r="G140" t="s">
        <v>37</v>
      </c>
      <c r="H140" t="s">
        <v>38</v>
      </c>
      <c r="I140" t="s">
        <v>97</v>
      </c>
      <c r="J140" t="s">
        <v>87</v>
      </c>
      <c r="K140" s="2" t="s">
        <v>214</v>
      </c>
      <c r="L140" t="s">
        <v>66</v>
      </c>
      <c r="M140" t="s">
        <v>94</v>
      </c>
      <c r="N140" t="s">
        <v>52</v>
      </c>
      <c r="O140">
        <v>4</v>
      </c>
      <c r="P140" t="s">
        <v>53</v>
      </c>
      <c r="Q140">
        <v>5</v>
      </c>
      <c r="R140" s="15">
        <v>221031</v>
      </c>
      <c r="S140" s="15">
        <v>702000</v>
      </c>
      <c r="T140" s="16">
        <v>4380969</v>
      </c>
      <c r="U140" t="str">
        <f t="shared" si="4"/>
        <v>no</v>
      </c>
      <c r="V140" t="str">
        <f t="shared" si="5"/>
        <v>budget</v>
      </c>
    </row>
    <row r="141" spans="1:22" x14ac:dyDescent="0.3">
      <c r="A141">
        <v>1140</v>
      </c>
      <c r="B141" t="s">
        <v>72</v>
      </c>
      <c r="C141" t="s">
        <v>34</v>
      </c>
      <c r="D141">
        <v>26</v>
      </c>
      <c r="E141" t="s">
        <v>73</v>
      </c>
      <c r="F141" t="s">
        <v>62</v>
      </c>
      <c r="G141" t="s">
        <v>105</v>
      </c>
      <c r="H141" t="s">
        <v>106</v>
      </c>
      <c r="I141" t="s">
        <v>39</v>
      </c>
      <c r="J141" t="s">
        <v>40</v>
      </c>
      <c r="K141" s="2" t="s">
        <v>215</v>
      </c>
      <c r="L141" t="s">
        <v>59</v>
      </c>
      <c r="M141" t="s">
        <v>43</v>
      </c>
      <c r="N141" t="s">
        <v>52</v>
      </c>
      <c r="O141">
        <v>2</v>
      </c>
      <c r="P141" t="s">
        <v>44</v>
      </c>
      <c r="Q141">
        <v>23</v>
      </c>
      <c r="R141" s="15">
        <v>183942</v>
      </c>
      <c r="S141" s="15">
        <v>1224000</v>
      </c>
      <c r="T141" s="16">
        <v>7840058</v>
      </c>
      <c r="U141" t="str">
        <f t="shared" si="4"/>
        <v>no</v>
      </c>
      <c r="V141" t="str">
        <f t="shared" si="5"/>
        <v>standard</v>
      </c>
    </row>
    <row r="142" spans="1:22" x14ac:dyDescent="0.3">
      <c r="A142">
        <v>1141</v>
      </c>
      <c r="B142" t="s">
        <v>104</v>
      </c>
      <c r="C142" t="s">
        <v>21</v>
      </c>
      <c r="D142">
        <v>32</v>
      </c>
      <c r="E142" t="s">
        <v>82</v>
      </c>
      <c r="F142" t="s">
        <v>36</v>
      </c>
      <c r="G142" t="s">
        <v>115</v>
      </c>
      <c r="H142" t="s">
        <v>106</v>
      </c>
      <c r="I142" t="s">
        <v>48</v>
      </c>
      <c r="J142" t="s">
        <v>87</v>
      </c>
      <c r="K142" s="2" t="s">
        <v>216</v>
      </c>
      <c r="L142" t="s">
        <v>71</v>
      </c>
      <c r="M142" t="s">
        <v>78</v>
      </c>
      <c r="N142" t="s">
        <v>31</v>
      </c>
      <c r="O142">
        <v>4</v>
      </c>
      <c r="P142" t="s">
        <v>44</v>
      </c>
      <c r="Q142">
        <v>25</v>
      </c>
      <c r="R142" s="15">
        <v>207969</v>
      </c>
      <c r="S142" s="15">
        <v>1098000</v>
      </c>
      <c r="T142" s="16">
        <v>6990031</v>
      </c>
      <c r="U142" t="str">
        <f t="shared" si="4"/>
        <v>no</v>
      </c>
      <c r="V142" t="str">
        <f t="shared" si="5"/>
        <v>standard</v>
      </c>
    </row>
    <row r="143" spans="1:22" x14ac:dyDescent="0.3">
      <c r="A143">
        <v>1142</v>
      </c>
      <c r="B143" t="s">
        <v>108</v>
      </c>
      <c r="C143" t="s">
        <v>34</v>
      </c>
      <c r="D143">
        <v>35</v>
      </c>
      <c r="E143" t="s">
        <v>112</v>
      </c>
      <c r="F143" t="s">
        <v>62</v>
      </c>
      <c r="G143" t="s">
        <v>69</v>
      </c>
      <c r="H143" t="s">
        <v>69</v>
      </c>
      <c r="I143" t="s">
        <v>97</v>
      </c>
      <c r="J143" t="s">
        <v>49</v>
      </c>
      <c r="K143" s="2" t="s">
        <v>217</v>
      </c>
      <c r="L143" t="s">
        <v>29</v>
      </c>
      <c r="M143" t="s">
        <v>30</v>
      </c>
      <c r="N143" t="s">
        <v>52</v>
      </c>
      <c r="O143">
        <v>2</v>
      </c>
      <c r="P143" t="s">
        <v>32</v>
      </c>
      <c r="Q143">
        <v>6</v>
      </c>
      <c r="R143" s="15">
        <v>103081</v>
      </c>
      <c r="S143" s="15">
        <v>936000</v>
      </c>
      <c r="T143" s="16">
        <v>6032919</v>
      </c>
      <c r="U143" t="str">
        <f t="shared" si="4"/>
        <v>no</v>
      </c>
      <c r="V143" t="str">
        <f t="shared" si="5"/>
        <v>standard</v>
      </c>
    </row>
    <row r="144" spans="1:22" x14ac:dyDescent="0.3">
      <c r="A144">
        <v>1143</v>
      </c>
      <c r="B144" t="s">
        <v>108</v>
      </c>
      <c r="C144" t="s">
        <v>34</v>
      </c>
      <c r="D144">
        <v>49</v>
      </c>
      <c r="E144" t="s">
        <v>35</v>
      </c>
      <c r="F144" t="s">
        <v>62</v>
      </c>
      <c r="G144" t="s">
        <v>91</v>
      </c>
      <c r="H144" t="s">
        <v>25</v>
      </c>
      <c r="I144" t="s">
        <v>26</v>
      </c>
      <c r="J144" t="s">
        <v>40</v>
      </c>
      <c r="K144" s="2" t="s">
        <v>218</v>
      </c>
      <c r="L144" t="s">
        <v>42</v>
      </c>
      <c r="M144" t="s">
        <v>43</v>
      </c>
      <c r="N144" t="s">
        <v>31</v>
      </c>
      <c r="O144">
        <v>2</v>
      </c>
      <c r="P144" t="s">
        <v>86</v>
      </c>
      <c r="Q144">
        <v>10</v>
      </c>
      <c r="R144" s="15">
        <v>250893</v>
      </c>
      <c r="S144" s="15">
        <v>1764000</v>
      </c>
      <c r="T144" s="16">
        <v>11313107</v>
      </c>
      <c r="U144" t="str">
        <f t="shared" si="4"/>
        <v>yes</v>
      </c>
      <c r="V144" t="str">
        <f t="shared" si="5"/>
        <v>premium</v>
      </c>
    </row>
    <row r="145" spans="1:22" x14ac:dyDescent="0.3">
      <c r="A145">
        <v>1144</v>
      </c>
      <c r="B145" t="s">
        <v>108</v>
      </c>
      <c r="C145" t="s">
        <v>21</v>
      </c>
      <c r="D145">
        <v>43</v>
      </c>
      <c r="E145" t="s">
        <v>68</v>
      </c>
      <c r="F145" t="s">
        <v>62</v>
      </c>
      <c r="G145" t="s">
        <v>37</v>
      </c>
      <c r="H145" t="s">
        <v>38</v>
      </c>
      <c r="I145" t="s">
        <v>26</v>
      </c>
      <c r="J145" t="s">
        <v>27</v>
      </c>
      <c r="K145" s="2" t="s">
        <v>219</v>
      </c>
      <c r="L145" t="s">
        <v>29</v>
      </c>
      <c r="M145" t="s">
        <v>43</v>
      </c>
      <c r="N145" t="s">
        <v>31</v>
      </c>
      <c r="O145">
        <v>3</v>
      </c>
      <c r="P145" t="s">
        <v>32</v>
      </c>
      <c r="Q145">
        <v>18</v>
      </c>
      <c r="R145" s="15">
        <v>60272</v>
      </c>
      <c r="S145" s="15">
        <v>846000</v>
      </c>
      <c r="T145" s="16">
        <v>5485728</v>
      </c>
      <c r="U145" t="str">
        <f t="shared" si="4"/>
        <v>no</v>
      </c>
      <c r="V145" t="str">
        <f t="shared" si="5"/>
        <v>standard</v>
      </c>
    </row>
    <row r="146" spans="1:22" x14ac:dyDescent="0.3">
      <c r="A146">
        <v>1145</v>
      </c>
      <c r="B146" t="s">
        <v>81</v>
      </c>
      <c r="C146" t="s">
        <v>34</v>
      </c>
      <c r="D146">
        <v>49</v>
      </c>
      <c r="E146" t="s">
        <v>90</v>
      </c>
      <c r="F146" t="s">
        <v>36</v>
      </c>
      <c r="G146" t="s">
        <v>115</v>
      </c>
      <c r="H146" t="s">
        <v>106</v>
      </c>
      <c r="I146" t="s">
        <v>48</v>
      </c>
      <c r="J146" t="s">
        <v>87</v>
      </c>
      <c r="K146" s="2" t="s">
        <v>220</v>
      </c>
      <c r="L146" t="s">
        <v>71</v>
      </c>
      <c r="M146" t="s">
        <v>78</v>
      </c>
      <c r="N146" t="s">
        <v>31</v>
      </c>
      <c r="O146">
        <v>5</v>
      </c>
      <c r="P146" t="s">
        <v>44</v>
      </c>
      <c r="Q146">
        <v>22</v>
      </c>
      <c r="R146" s="15">
        <v>222475</v>
      </c>
      <c r="S146" s="15">
        <v>702000</v>
      </c>
      <c r="T146" s="16">
        <v>4379525</v>
      </c>
      <c r="U146" t="str">
        <f t="shared" si="4"/>
        <v>no</v>
      </c>
      <c r="V146" t="str">
        <f t="shared" si="5"/>
        <v>budget</v>
      </c>
    </row>
    <row r="147" spans="1:22" x14ac:dyDescent="0.3">
      <c r="A147">
        <v>1146</v>
      </c>
      <c r="B147" t="s">
        <v>72</v>
      </c>
      <c r="C147" t="s">
        <v>21</v>
      </c>
      <c r="D147">
        <v>31</v>
      </c>
      <c r="E147" t="s">
        <v>68</v>
      </c>
      <c r="F147" t="s">
        <v>55</v>
      </c>
      <c r="G147" t="s">
        <v>69</v>
      </c>
      <c r="H147" t="s">
        <v>69</v>
      </c>
      <c r="I147" t="s">
        <v>39</v>
      </c>
      <c r="J147" t="s">
        <v>87</v>
      </c>
      <c r="K147" s="2" t="s">
        <v>221</v>
      </c>
      <c r="L147" t="s">
        <v>59</v>
      </c>
      <c r="M147" t="s">
        <v>51</v>
      </c>
      <c r="N147" t="s">
        <v>31</v>
      </c>
      <c r="O147">
        <v>2</v>
      </c>
      <c r="P147" t="s">
        <v>86</v>
      </c>
      <c r="Q147">
        <v>7</v>
      </c>
      <c r="R147" s="15">
        <v>52067</v>
      </c>
      <c r="S147" s="15">
        <v>846000</v>
      </c>
      <c r="T147" s="16">
        <v>5493933</v>
      </c>
      <c r="U147" t="str">
        <f t="shared" si="4"/>
        <v>no</v>
      </c>
      <c r="V147" t="str">
        <f t="shared" si="5"/>
        <v>standard</v>
      </c>
    </row>
    <row r="148" spans="1:22" x14ac:dyDescent="0.3">
      <c r="A148">
        <v>1147</v>
      </c>
      <c r="B148" t="s">
        <v>54</v>
      </c>
      <c r="C148" t="s">
        <v>21</v>
      </c>
      <c r="D148">
        <v>52</v>
      </c>
      <c r="E148" t="s">
        <v>61</v>
      </c>
      <c r="F148" t="s">
        <v>23</v>
      </c>
      <c r="G148" t="s">
        <v>37</v>
      </c>
      <c r="H148" t="s">
        <v>38</v>
      </c>
      <c r="I148" t="s">
        <v>48</v>
      </c>
      <c r="J148" t="s">
        <v>40</v>
      </c>
      <c r="K148" s="2" t="s">
        <v>222</v>
      </c>
      <c r="L148" t="s">
        <v>71</v>
      </c>
      <c r="M148" t="s">
        <v>94</v>
      </c>
      <c r="N148" t="s">
        <v>52</v>
      </c>
      <c r="O148">
        <v>5</v>
      </c>
      <c r="P148" t="s">
        <v>32</v>
      </c>
      <c r="Q148">
        <v>24</v>
      </c>
      <c r="R148" s="15">
        <v>216817</v>
      </c>
      <c r="S148" s="15">
        <v>2250000</v>
      </c>
      <c r="T148" s="16">
        <v>14533183</v>
      </c>
      <c r="U148" t="str">
        <f t="shared" si="4"/>
        <v>no</v>
      </c>
      <c r="V148" t="str">
        <f t="shared" si="5"/>
        <v>premium</v>
      </c>
    </row>
    <row r="149" spans="1:22" x14ac:dyDescent="0.3">
      <c r="A149">
        <v>1148</v>
      </c>
      <c r="B149" t="s">
        <v>108</v>
      </c>
      <c r="C149" t="s">
        <v>34</v>
      </c>
      <c r="D149">
        <v>50</v>
      </c>
      <c r="E149" t="s">
        <v>61</v>
      </c>
      <c r="F149" t="s">
        <v>36</v>
      </c>
      <c r="G149" t="s">
        <v>115</v>
      </c>
      <c r="H149" t="s">
        <v>106</v>
      </c>
      <c r="I149" t="s">
        <v>26</v>
      </c>
      <c r="J149" t="s">
        <v>40</v>
      </c>
      <c r="K149" s="2" t="s">
        <v>193</v>
      </c>
      <c r="L149" t="s">
        <v>42</v>
      </c>
      <c r="M149" t="s">
        <v>51</v>
      </c>
      <c r="N149" t="s">
        <v>52</v>
      </c>
      <c r="O149">
        <v>2</v>
      </c>
      <c r="P149" t="s">
        <v>86</v>
      </c>
      <c r="Q149">
        <v>9</v>
      </c>
      <c r="R149" s="15">
        <v>62973</v>
      </c>
      <c r="S149" s="15">
        <v>2250000</v>
      </c>
      <c r="T149" s="16">
        <v>14687027</v>
      </c>
      <c r="U149" t="str">
        <f t="shared" si="4"/>
        <v>no</v>
      </c>
      <c r="V149" t="str">
        <f t="shared" si="5"/>
        <v>premium</v>
      </c>
    </row>
    <row r="150" spans="1:22" x14ac:dyDescent="0.3">
      <c r="A150">
        <v>1149</v>
      </c>
      <c r="B150" t="s">
        <v>45</v>
      </c>
      <c r="C150" t="s">
        <v>34</v>
      </c>
      <c r="D150">
        <v>28</v>
      </c>
      <c r="E150" t="s">
        <v>82</v>
      </c>
      <c r="F150" t="s">
        <v>23</v>
      </c>
      <c r="G150" t="s">
        <v>24</v>
      </c>
      <c r="H150" t="s">
        <v>25</v>
      </c>
      <c r="I150" t="s">
        <v>97</v>
      </c>
      <c r="J150" t="s">
        <v>87</v>
      </c>
      <c r="K150" s="2" t="s">
        <v>223</v>
      </c>
      <c r="L150" t="s">
        <v>66</v>
      </c>
      <c r="M150" t="s">
        <v>51</v>
      </c>
      <c r="N150" t="s">
        <v>52</v>
      </c>
      <c r="O150">
        <v>4</v>
      </c>
      <c r="P150" t="s">
        <v>32</v>
      </c>
      <c r="Q150">
        <v>11</v>
      </c>
      <c r="R150" s="15">
        <v>98842</v>
      </c>
      <c r="S150" s="15">
        <v>1098000</v>
      </c>
      <c r="T150" s="16">
        <v>7099158</v>
      </c>
      <c r="U150" t="str">
        <f t="shared" si="4"/>
        <v>no</v>
      </c>
      <c r="V150" t="str">
        <f t="shared" si="5"/>
        <v>standard</v>
      </c>
    </row>
    <row r="151" spans="1:22" x14ac:dyDescent="0.3">
      <c r="A151">
        <v>1150</v>
      </c>
      <c r="B151" t="s">
        <v>72</v>
      </c>
      <c r="C151" t="s">
        <v>21</v>
      </c>
      <c r="D151">
        <v>56</v>
      </c>
      <c r="E151" t="s">
        <v>118</v>
      </c>
      <c r="F151" t="s">
        <v>36</v>
      </c>
      <c r="G151" t="s">
        <v>24</v>
      </c>
      <c r="H151" t="s">
        <v>25</v>
      </c>
      <c r="I151" t="s">
        <v>97</v>
      </c>
      <c r="J151" t="s">
        <v>49</v>
      </c>
      <c r="K151" s="2" t="s">
        <v>224</v>
      </c>
      <c r="L151" t="s">
        <v>71</v>
      </c>
      <c r="M151" t="s">
        <v>43</v>
      </c>
      <c r="N151" t="s">
        <v>31</v>
      </c>
      <c r="O151">
        <v>2</v>
      </c>
      <c r="P151" t="s">
        <v>86</v>
      </c>
      <c r="Q151">
        <v>8</v>
      </c>
      <c r="R151" s="15">
        <v>249716</v>
      </c>
      <c r="S151" s="15">
        <v>1350000</v>
      </c>
      <c r="T151" s="16">
        <v>8600284</v>
      </c>
      <c r="U151" t="str">
        <f t="shared" si="4"/>
        <v>no</v>
      </c>
      <c r="V151" t="str">
        <f t="shared" si="5"/>
        <v>standard</v>
      </c>
    </row>
    <row r="152" spans="1:22" x14ac:dyDescent="0.3">
      <c r="A152">
        <v>1151</v>
      </c>
      <c r="B152" t="s">
        <v>60</v>
      </c>
      <c r="C152" t="s">
        <v>21</v>
      </c>
      <c r="D152">
        <v>42</v>
      </c>
      <c r="E152" t="s">
        <v>118</v>
      </c>
      <c r="F152" t="s">
        <v>23</v>
      </c>
      <c r="G152" t="s">
        <v>37</v>
      </c>
      <c r="H152" t="s">
        <v>38</v>
      </c>
      <c r="I152" t="s">
        <v>76</v>
      </c>
      <c r="J152" t="s">
        <v>49</v>
      </c>
      <c r="K152" s="2" t="s">
        <v>225</v>
      </c>
      <c r="L152" t="s">
        <v>42</v>
      </c>
      <c r="M152" t="s">
        <v>30</v>
      </c>
      <c r="N152" t="s">
        <v>52</v>
      </c>
      <c r="O152">
        <v>5</v>
      </c>
      <c r="P152" t="s">
        <v>32</v>
      </c>
      <c r="Q152">
        <v>15</v>
      </c>
      <c r="R152" s="15">
        <v>281887</v>
      </c>
      <c r="S152" s="15">
        <v>1350000</v>
      </c>
      <c r="T152" s="16">
        <v>8568113</v>
      </c>
      <c r="U152" t="str">
        <f t="shared" si="4"/>
        <v>no</v>
      </c>
      <c r="V152" t="str">
        <f t="shared" si="5"/>
        <v>standard</v>
      </c>
    </row>
    <row r="153" spans="1:22" x14ac:dyDescent="0.3">
      <c r="A153">
        <v>1152</v>
      </c>
      <c r="B153" t="s">
        <v>60</v>
      </c>
      <c r="C153" t="s">
        <v>34</v>
      </c>
      <c r="D153">
        <v>59</v>
      </c>
      <c r="E153" t="s">
        <v>118</v>
      </c>
      <c r="F153" t="s">
        <v>23</v>
      </c>
      <c r="G153" t="s">
        <v>56</v>
      </c>
      <c r="H153" t="s">
        <v>57</v>
      </c>
      <c r="I153" t="s">
        <v>97</v>
      </c>
      <c r="J153" t="s">
        <v>40</v>
      </c>
      <c r="K153" s="2" t="s">
        <v>100</v>
      </c>
      <c r="L153" t="s">
        <v>71</v>
      </c>
      <c r="M153" t="s">
        <v>78</v>
      </c>
      <c r="N153" t="s">
        <v>31</v>
      </c>
      <c r="O153">
        <v>4</v>
      </c>
      <c r="P153" t="s">
        <v>53</v>
      </c>
      <c r="Q153">
        <v>17</v>
      </c>
      <c r="R153" s="15">
        <v>265981</v>
      </c>
      <c r="S153" s="15">
        <v>1350000</v>
      </c>
      <c r="T153" s="16">
        <v>8584019</v>
      </c>
      <c r="U153" t="str">
        <f t="shared" si="4"/>
        <v>no</v>
      </c>
      <c r="V153" t="str">
        <f t="shared" si="5"/>
        <v>standard</v>
      </c>
    </row>
    <row r="154" spans="1:22" x14ac:dyDescent="0.3">
      <c r="A154">
        <v>1153</v>
      </c>
      <c r="B154" t="s">
        <v>60</v>
      </c>
      <c r="C154" t="s">
        <v>21</v>
      </c>
      <c r="D154">
        <v>44</v>
      </c>
      <c r="E154" t="s">
        <v>68</v>
      </c>
      <c r="F154" t="s">
        <v>36</v>
      </c>
      <c r="G154" t="s">
        <v>105</v>
      </c>
      <c r="H154" t="s">
        <v>106</v>
      </c>
      <c r="I154" t="s">
        <v>97</v>
      </c>
      <c r="J154" t="s">
        <v>27</v>
      </c>
      <c r="K154" s="2" t="s">
        <v>226</v>
      </c>
      <c r="L154" t="s">
        <v>66</v>
      </c>
      <c r="M154" t="s">
        <v>78</v>
      </c>
      <c r="N154" t="s">
        <v>31</v>
      </c>
      <c r="O154">
        <v>4</v>
      </c>
      <c r="P154" t="s">
        <v>86</v>
      </c>
      <c r="Q154">
        <v>10</v>
      </c>
      <c r="R154" s="15">
        <v>80414</v>
      </c>
      <c r="S154" s="15">
        <v>846000</v>
      </c>
      <c r="T154" s="16">
        <v>5465586</v>
      </c>
      <c r="U154" t="str">
        <f t="shared" si="4"/>
        <v>no</v>
      </c>
      <c r="V154" t="str">
        <f t="shared" si="5"/>
        <v>standard</v>
      </c>
    </row>
    <row r="155" spans="1:22" x14ac:dyDescent="0.3">
      <c r="A155">
        <v>1154</v>
      </c>
      <c r="B155" t="s">
        <v>101</v>
      </c>
      <c r="C155" t="s">
        <v>21</v>
      </c>
      <c r="D155">
        <v>39</v>
      </c>
      <c r="E155" t="s">
        <v>90</v>
      </c>
      <c r="F155" t="s">
        <v>36</v>
      </c>
      <c r="G155" t="s">
        <v>105</v>
      </c>
      <c r="H155" t="s">
        <v>106</v>
      </c>
      <c r="I155" t="s">
        <v>26</v>
      </c>
      <c r="J155" t="s">
        <v>27</v>
      </c>
      <c r="K155" s="2" t="s">
        <v>227</v>
      </c>
      <c r="L155" t="s">
        <v>71</v>
      </c>
      <c r="M155" t="s">
        <v>51</v>
      </c>
      <c r="N155" t="s">
        <v>31</v>
      </c>
      <c r="O155">
        <v>4</v>
      </c>
      <c r="P155" t="s">
        <v>86</v>
      </c>
      <c r="Q155">
        <v>13</v>
      </c>
      <c r="R155" s="15">
        <v>173787</v>
      </c>
      <c r="S155" s="15">
        <v>702000</v>
      </c>
      <c r="T155" s="16">
        <v>4428213</v>
      </c>
      <c r="U155" t="str">
        <f t="shared" si="4"/>
        <v>no</v>
      </c>
      <c r="V155" t="str">
        <f t="shared" si="5"/>
        <v>budget</v>
      </c>
    </row>
    <row r="156" spans="1:22" x14ac:dyDescent="0.3">
      <c r="A156">
        <v>1155</v>
      </c>
      <c r="B156" t="s">
        <v>72</v>
      </c>
      <c r="C156" t="s">
        <v>34</v>
      </c>
      <c r="D156">
        <v>37</v>
      </c>
      <c r="E156" t="s">
        <v>46</v>
      </c>
      <c r="F156" t="s">
        <v>23</v>
      </c>
      <c r="G156" t="s">
        <v>69</v>
      </c>
      <c r="H156" t="s">
        <v>69</v>
      </c>
      <c r="I156" t="s">
        <v>76</v>
      </c>
      <c r="J156" t="s">
        <v>49</v>
      </c>
      <c r="K156" s="2" t="s">
        <v>228</v>
      </c>
      <c r="L156" t="s">
        <v>42</v>
      </c>
      <c r="M156" t="s">
        <v>94</v>
      </c>
      <c r="N156" t="s">
        <v>31</v>
      </c>
      <c r="O156">
        <v>2</v>
      </c>
      <c r="P156" t="s">
        <v>86</v>
      </c>
      <c r="Q156">
        <v>20</v>
      </c>
      <c r="R156" s="15">
        <v>110905</v>
      </c>
      <c r="S156" s="15">
        <v>5760000</v>
      </c>
      <c r="T156" s="16">
        <v>37649095</v>
      </c>
      <c r="U156" t="str">
        <f t="shared" si="4"/>
        <v>yes</v>
      </c>
      <c r="V156" t="str">
        <f t="shared" si="5"/>
        <v>ultra premium</v>
      </c>
    </row>
    <row r="157" spans="1:22" x14ac:dyDescent="0.3">
      <c r="A157">
        <v>1156</v>
      </c>
      <c r="B157" t="s">
        <v>67</v>
      </c>
      <c r="C157" t="s">
        <v>34</v>
      </c>
      <c r="D157">
        <v>50</v>
      </c>
      <c r="E157" t="s">
        <v>112</v>
      </c>
      <c r="F157" t="s">
        <v>23</v>
      </c>
      <c r="G157" t="s">
        <v>24</v>
      </c>
      <c r="H157" t="s">
        <v>25</v>
      </c>
      <c r="I157" t="s">
        <v>48</v>
      </c>
      <c r="J157" t="s">
        <v>87</v>
      </c>
      <c r="K157" s="2" t="s">
        <v>229</v>
      </c>
      <c r="L157" t="s">
        <v>71</v>
      </c>
      <c r="M157" t="s">
        <v>78</v>
      </c>
      <c r="N157" t="s">
        <v>52</v>
      </c>
      <c r="O157">
        <v>2</v>
      </c>
      <c r="P157" t="s">
        <v>86</v>
      </c>
      <c r="Q157">
        <v>9</v>
      </c>
      <c r="R157" s="15">
        <v>169630</v>
      </c>
      <c r="S157" s="15">
        <v>936000</v>
      </c>
      <c r="T157" s="16">
        <v>5966370</v>
      </c>
      <c r="U157" t="str">
        <f t="shared" si="4"/>
        <v>no</v>
      </c>
      <c r="V157" t="str">
        <f t="shared" si="5"/>
        <v>standard</v>
      </c>
    </row>
    <row r="158" spans="1:22" x14ac:dyDescent="0.3">
      <c r="A158">
        <v>1157</v>
      </c>
      <c r="B158" t="s">
        <v>33</v>
      </c>
      <c r="C158" t="s">
        <v>34</v>
      </c>
      <c r="D158">
        <v>29</v>
      </c>
      <c r="E158" t="s">
        <v>118</v>
      </c>
      <c r="F158" t="s">
        <v>36</v>
      </c>
      <c r="G158" t="s">
        <v>56</v>
      </c>
      <c r="H158" t="s">
        <v>57</v>
      </c>
      <c r="I158" t="s">
        <v>26</v>
      </c>
      <c r="J158" t="s">
        <v>40</v>
      </c>
      <c r="K158" s="2" t="s">
        <v>230</v>
      </c>
      <c r="L158" t="s">
        <v>29</v>
      </c>
      <c r="M158" t="s">
        <v>51</v>
      </c>
      <c r="N158" t="s">
        <v>52</v>
      </c>
      <c r="O158">
        <v>4</v>
      </c>
      <c r="P158" t="s">
        <v>86</v>
      </c>
      <c r="Q158">
        <v>6</v>
      </c>
      <c r="R158" s="15">
        <v>99369</v>
      </c>
      <c r="S158" s="15">
        <v>1350000</v>
      </c>
      <c r="T158" s="16">
        <v>8750631</v>
      </c>
      <c r="U158" t="str">
        <f t="shared" si="4"/>
        <v>no</v>
      </c>
      <c r="V158" t="str">
        <f t="shared" si="5"/>
        <v>standard</v>
      </c>
    </row>
    <row r="159" spans="1:22" x14ac:dyDescent="0.3">
      <c r="A159">
        <v>1158</v>
      </c>
      <c r="B159" t="s">
        <v>95</v>
      </c>
      <c r="C159" t="s">
        <v>21</v>
      </c>
      <c r="D159">
        <v>32</v>
      </c>
      <c r="E159" t="s">
        <v>61</v>
      </c>
      <c r="F159" t="s">
        <v>36</v>
      </c>
      <c r="G159" t="s">
        <v>69</v>
      </c>
      <c r="H159" t="s">
        <v>69</v>
      </c>
      <c r="I159" t="s">
        <v>97</v>
      </c>
      <c r="J159" t="s">
        <v>27</v>
      </c>
      <c r="K159" s="2" t="s">
        <v>231</v>
      </c>
      <c r="L159" t="s">
        <v>42</v>
      </c>
      <c r="M159" t="s">
        <v>94</v>
      </c>
      <c r="N159" t="s">
        <v>52</v>
      </c>
      <c r="O159">
        <v>2</v>
      </c>
      <c r="P159" t="s">
        <v>44</v>
      </c>
      <c r="Q159">
        <v>22</v>
      </c>
      <c r="R159" s="15">
        <v>73117</v>
      </c>
      <c r="S159" s="15">
        <v>2250000</v>
      </c>
      <c r="T159" s="16">
        <v>14676883</v>
      </c>
      <c r="U159" t="str">
        <f t="shared" si="4"/>
        <v>no</v>
      </c>
      <c r="V159" t="str">
        <f t="shared" si="5"/>
        <v>premium</v>
      </c>
    </row>
    <row r="160" spans="1:22" x14ac:dyDescent="0.3">
      <c r="A160">
        <v>1159</v>
      </c>
      <c r="B160" t="s">
        <v>72</v>
      </c>
      <c r="C160" t="s">
        <v>21</v>
      </c>
      <c r="D160">
        <v>36</v>
      </c>
      <c r="E160" t="s">
        <v>68</v>
      </c>
      <c r="F160" t="s">
        <v>23</v>
      </c>
      <c r="G160" t="s">
        <v>63</v>
      </c>
      <c r="H160" t="s">
        <v>64</v>
      </c>
      <c r="I160" t="s">
        <v>76</v>
      </c>
      <c r="J160" t="s">
        <v>87</v>
      </c>
      <c r="K160" s="2" t="s">
        <v>107</v>
      </c>
      <c r="L160" t="s">
        <v>29</v>
      </c>
      <c r="M160" t="s">
        <v>43</v>
      </c>
      <c r="N160" t="s">
        <v>31</v>
      </c>
      <c r="O160">
        <v>5</v>
      </c>
      <c r="P160" t="s">
        <v>44</v>
      </c>
      <c r="Q160">
        <v>13</v>
      </c>
      <c r="R160" s="15">
        <v>189095</v>
      </c>
      <c r="S160" s="15">
        <v>846000</v>
      </c>
      <c r="T160" s="16">
        <v>5356905</v>
      </c>
      <c r="U160" t="str">
        <f t="shared" si="4"/>
        <v>no</v>
      </c>
      <c r="V160" t="str">
        <f t="shared" si="5"/>
        <v>standard</v>
      </c>
    </row>
    <row r="161" spans="1:22" x14ac:dyDescent="0.3">
      <c r="A161">
        <v>1160</v>
      </c>
      <c r="B161" t="s">
        <v>54</v>
      </c>
      <c r="C161" t="s">
        <v>34</v>
      </c>
      <c r="D161">
        <v>47</v>
      </c>
      <c r="E161" t="s">
        <v>73</v>
      </c>
      <c r="F161" t="s">
        <v>36</v>
      </c>
      <c r="G161" t="s">
        <v>69</v>
      </c>
      <c r="H161" t="s">
        <v>69</v>
      </c>
      <c r="I161" t="s">
        <v>26</v>
      </c>
      <c r="J161" t="s">
        <v>49</v>
      </c>
      <c r="K161" s="2" t="s">
        <v>232</v>
      </c>
      <c r="L161" t="s">
        <v>71</v>
      </c>
      <c r="M161" t="s">
        <v>78</v>
      </c>
      <c r="N161" t="s">
        <v>31</v>
      </c>
      <c r="O161">
        <v>3</v>
      </c>
      <c r="P161" t="s">
        <v>44</v>
      </c>
      <c r="Q161">
        <v>17</v>
      </c>
      <c r="R161" s="15">
        <v>195142</v>
      </c>
      <c r="S161" s="15">
        <v>1224000</v>
      </c>
      <c r="T161" s="16">
        <v>7828858</v>
      </c>
      <c r="U161" t="str">
        <f t="shared" si="4"/>
        <v>no</v>
      </c>
      <c r="V161" t="str">
        <f t="shared" si="5"/>
        <v>standard</v>
      </c>
    </row>
    <row r="162" spans="1:22" x14ac:dyDescent="0.3">
      <c r="A162">
        <v>1161</v>
      </c>
      <c r="B162" t="s">
        <v>108</v>
      </c>
      <c r="C162" t="s">
        <v>21</v>
      </c>
      <c r="D162">
        <v>60</v>
      </c>
      <c r="E162" t="s">
        <v>46</v>
      </c>
      <c r="F162" t="s">
        <v>62</v>
      </c>
      <c r="G162" t="s">
        <v>37</v>
      </c>
      <c r="H162" t="s">
        <v>38</v>
      </c>
      <c r="I162" t="s">
        <v>97</v>
      </c>
      <c r="J162" t="s">
        <v>49</v>
      </c>
      <c r="K162" s="2" t="s">
        <v>233</v>
      </c>
      <c r="L162" t="s">
        <v>66</v>
      </c>
      <c r="M162" t="s">
        <v>94</v>
      </c>
      <c r="N162" t="s">
        <v>31</v>
      </c>
      <c r="O162">
        <v>2</v>
      </c>
      <c r="P162" t="s">
        <v>86</v>
      </c>
      <c r="Q162">
        <v>7</v>
      </c>
      <c r="R162" s="15">
        <v>290342</v>
      </c>
      <c r="S162" s="15">
        <v>5760000</v>
      </c>
      <c r="T162" s="16">
        <v>37469658</v>
      </c>
      <c r="U162" t="str">
        <f t="shared" si="4"/>
        <v>yes</v>
      </c>
      <c r="V162" t="str">
        <f t="shared" si="5"/>
        <v>ultra premium</v>
      </c>
    </row>
    <row r="163" spans="1:22" x14ac:dyDescent="0.3">
      <c r="A163">
        <v>1162</v>
      </c>
      <c r="B163" t="s">
        <v>20</v>
      </c>
      <c r="C163" t="s">
        <v>21</v>
      </c>
      <c r="D163">
        <v>36</v>
      </c>
      <c r="E163" t="s">
        <v>46</v>
      </c>
      <c r="F163" t="s">
        <v>36</v>
      </c>
      <c r="G163" t="s">
        <v>105</v>
      </c>
      <c r="H163" t="s">
        <v>106</v>
      </c>
      <c r="I163" t="s">
        <v>39</v>
      </c>
      <c r="J163" t="s">
        <v>49</v>
      </c>
      <c r="K163" s="2" t="s">
        <v>234</v>
      </c>
      <c r="L163" t="s">
        <v>66</v>
      </c>
      <c r="M163" t="s">
        <v>51</v>
      </c>
      <c r="N163" t="s">
        <v>52</v>
      </c>
      <c r="O163">
        <v>3</v>
      </c>
      <c r="P163" t="s">
        <v>44</v>
      </c>
      <c r="Q163">
        <v>9</v>
      </c>
      <c r="R163" s="15">
        <v>66352</v>
      </c>
      <c r="S163" s="15">
        <v>5760000</v>
      </c>
      <c r="T163" s="16">
        <v>37693648</v>
      </c>
      <c r="U163" t="str">
        <f t="shared" si="4"/>
        <v>yes</v>
      </c>
      <c r="V163" t="str">
        <f t="shared" si="5"/>
        <v>ultra premium</v>
      </c>
    </row>
    <row r="164" spans="1:22" x14ac:dyDescent="0.3">
      <c r="A164">
        <v>1163</v>
      </c>
      <c r="B164" t="s">
        <v>101</v>
      </c>
      <c r="C164" t="s">
        <v>34</v>
      </c>
      <c r="D164">
        <v>32</v>
      </c>
      <c r="E164" t="s">
        <v>118</v>
      </c>
      <c r="F164" t="s">
        <v>55</v>
      </c>
      <c r="G164" t="s">
        <v>63</v>
      </c>
      <c r="H164" t="s">
        <v>64</v>
      </c>
      <c r="I164" t="s">
        <v>26</v>
      </c>
      <c r="J164" t="s">
        <v>87</v>
      </c>
      <c r="K164" s="2" t="s">
        <v>235</v>
      </c>
      <c r="L164" t="s">
        <v>66</v>
      </c>
      <c r="M164" t="s">
        <v>51</v>
      </c>
      <c r="N164" t="s">
        <v>52</v>
      </c>
      <c r="O164">
        <v>3</v>
      </c>
      <c r="P164" t="s">
        <v>32</v>
      </c>
      <c r="Q164">
        <v>25</v>
      </c>
      <c r="R164" s="15">
        <v>220770</v>
      </c>
      <c r="S164" s="15">
        <v>1350000</v>
      </c>
      <c r="T164" s="16">
        <v>8629230</v>
      </c>
      <c r="U164" t="str">
        <f t="shared" si="4"/>
        <v>no</v>
      </c>
      <c r="V164" t="str">
        <f t="shared" si="5"/>
        <v>standard</v>
      </c>
    </row>
    <row r="165" spans="1:22" x14ac:dyDescent="0.3">
      <c r="A165">
        <v>1164</v>
      </c>
      <c r="B165" t="s">
        <v>104</v>
      </c>
      <c r="C165" t="s">
        <v>21</v>
      </c>
      <c r="D165">
        <v>26</v>
      </c>
      <c r="E165" t="s">
        <v>73</v>
      </c>
      <c r="F165" t="s">
        <v>55</v>
      </c>
      <c r="G165" t="s">
        <v>63</v>
      </c>
      <c r="H165" t="s">
        <v>64</v>
      </c>
      <c r="I165" t="s">
        <v>39</v>
      </c>
      <c r="J165" t="s">
        <v>27</v>
      </c>
      <c r="K165" s="2" t="s">
        <v>124</v>
      </c>
      <c r="L165" t="s">
        <v>42</v>
      </c>
      <c r="M165" t="s">
        <v>78</v>
      </c>
      <c r="N165" t="s">
        <v>31</v>
      </c>
      <c r="O165">
        <v>5</v>
      </c>
      <c r="P165" t="s">
        <v>86</v>
      </c>
      <c r="Q165">
        <v>11</v>
      </c>
      <c r="R165" s="15">
        <v>258450</v>
      </c>
      <c r="S165" s="15">
        <v>1224000</v>
      </c>
      <c r="T165" s="16">
        <v>7765550</v>
      </c>
      <c r="U165" t="str">
        <f t="shared" si="4"/>
        <v>no</v>
      </c>
      <c r="V165" t="str">
        <f t="shared" si="5"/>
        <v>standard</v>
      </c>
    </row>
    <row r="166" spans="1:22" x14ac:dyDescent="0.3">
      <c r="A166">
        <v>1165</v>
      </c>
      <c r="B166" t="s">
        <v>108</v>
      </c>
      <c r="C166" t="s">
        <v>34</v>
      </c>
      <c r="D166">
        <v>34</v>
      </c>
      <c r="E166" t="s">
        <v>73</v>
      </c>
      <c r="F166" t="s">
        <v>23</v>
      </c>
      <c r="G166" t="s">
        <v>69</v>
      </c>
      <c r="H166" t="s">
        <v>69</v>
      </c>
      <c r="I166" t="s">
        <v>26</v>
      </c>
      <c r="J166" t="s">
        <v>40</v>
      </c>
      <c r="K166" s="2" t="s">
        <v>236</v>
      </c>
      <c r="L166" t="s">
        <v>59</v>
      </c>
      <c r="M166" t="s">
        <v>43</v>
      </c>
      <c r="N166" t="s">
        <v>31</v>
      </c>
      <c r="O166">
        <v>4</v>
      </c>
      <c r="P166" t="s">
        <v>44</v>
      </c>
      <c r="Q166">
        <v>10</v>
      </c>
      <c r="R166" s="15">
        <v>178085</v>
      </c>
      <c r="S166" s="15">
        <v>1224000</v>
      </c>
      <c r="T166" s="16">
        <v>7845915</v>
      </c>
      <c r="U166" t="str">
        <f t="shared" si="4"/>
        <v>no</v>
      </c>
      <c r="V166" t="str">
        <f t="shared" si="5"/>
        <v>standard</v>
      </c>
    </row>
    <row r="167" spans="1:22" x14ac:dyDescent="0.3">
      <c r="A167">
        <v>1166</v>
      </c>
      <c r="B167" t="s">
        <v>108</v>
      </c>
      <c r="C167" t="s">
        <v>21</v>
      </c>
      <c r="D167">
        <v>43</v>
      </c>
      <c r="E167" t="s">
        <v>82</v>
      </c>
      <c r="F167" t="s">
        <v>62</v>
      </c>
      <c r="G167" t="s">
        <v>69</v>
      </c>
      <c r="H167" t="s">
        <v>69</v>
      </c>
      <c r="I167" t="s">
        <v>39</v>
      </c>
      <c r="J167" t="s">
        <v>40</v>
      </c>
      <c r="K167" s="2" t="s">
        <v>237</v>
      </c>
      <c r="L167" t="s">
        <v>59</v>
      </c>
      <c r="M167" t="s">
        <v>78</v>
      </c>
      <c r="N167" t="s">
        <v>52</v>
      </c>
      <c r="O167">
        <v>4</v>
      </c>
      <c r="P167" t="s">
        <v>86</v>
      </c>
      <c r="Q167">
        <v>23</v>
      </c>
      <c r="R167" s="15">
        <v>60017</v>
      </c>
      <c r="S167" s="15">
        <v>1098000</v>
      </c>
      <c r="T167" s="16">
        <v>7137983</v>
      </c>
      <c r="U167" t="str">
        <f t="shared" si="4"/>
        <v>no</v>
      </c>
      <c r="V167" t="str">
        <f t="shared" si="5"/>
        <v>standard</v>
      </c>
    </row>
    <row r="168" spans="1:22" x14ac:dyDescent="0.3">
      <c r="A168">
        <v>1167</v>
      </c>
      <c r="B168" t="s">
        <v>81</v>
      </c>
      <c r="C168" t="s">
        <v>21</v>
      </c>
      <c r="D168">
        <v>39</v>
      </c>
      <c r="E168" t="s">
        <v>82</v>
      </c>
      <c r="F168" t="s">
        <v>23</v>
      </c>
      <c r="G168" t="s">
        <v>37</v>
      </c>
      <c r="H168" t="s">
        <v>38</v>
      </c>
      <c r="I168" t="s">
        <v>76</v>
      </c>
      <c r="J168" t="s">
        <v>40</v>
      </c>
      <c r="K168" s="2" t="s">
        <v>238</v>
      </c>
      <c r="L168" t="s">
        <v>29</v>
      </c>
      <c r="M168" t="s">
        <v>43</v>
      </c>
      <c r="N168" t="s">
        <v>52</v>
      </c>
      <c r="O168">
        <v>2</v>
      </c>
      <c r="P168" t="s">
        <v>86</v>
      </c>
      <c r="Q168">
        <v>16</v>
      </c>
      <c r="R168" s="15">
        <v>61660</v>
      </c>
      <c r="S168" s="15">
        <v>1098000</v>
      </c>
      <c r="T168" s="16">
        <v>7136340</v>
      </c>
      <c r="U168" t="str">
        <f t="shared" si="4"/>
        <v>no</v>
      </c>
      <c r="V168" t="str">
        <f t="shared" si="5"/>
        <v>standard</v>
      </c>
    </row>
    <row r="169" spans="1:22" x14ac:dyDescent="0.3">
      <c r="A169">
        <v>1168</v>
      </c>
      <c r="B169" t="s">
        <v>104</v>
      </c>
      <c r="C169" t="s">
        <v>34</v>
      </c>
      <c r="D169">
        <v>25</v>
      </c>
      <c r="E169" t="s">
        <v>61</v>
      </c>
      <c r="F169" t="s">
        <v>55</v>
      </c>
      <c r="G169" t="s">
        <v>115</v>
      </c>
      <c r="H169" t="s">
        <v>106</v>
      </c>
      <c r="I169" t="s">
        <v>48</v>
      </c>
      <c r="J169" t="s">
        <v>87</v>
      </c>
      <c r="K169" s="2" t="s">
        <v>239</v>
      </c>
      <c r="L169" t="s">
        <v>71</v>
      </c>
      <c r="M169" t="s">
        <v>78</v>
      </c>
      <c r="N169" t="s">
        <v>31</v>
      </c>
      <c r="O169">
        <v>4</v>
      </c>
      <c r="P169" t="s">
        <v>53</v>
      </c>
      <c r="Q169">
        <v>7</v>
      </c>
      <c r="R169" s="15">
        <v>180293</v>
      </c>
      <c r="S169" s="15">
        <v>2250000</v>
      </c>
      <c r="T169" s="16">
        <v>14569707</v>
      </c>
      <c r="U169" t="str">
        <f t="shared" si="4"/>
        <v>no</v>
      </c>
      <c r="V169" t="str">
        <f t="shared" si="5"/>
        <v>premium</v>
      </c>
    </row>
    <row r="170" spans="1:22" x14ac:dyDescent="0.3">
      <c r="A170">
        <v>1169</v>
      </c>
      <c r="B170" t="s">
        <v>60</v>
      </c>
      <c r="C170" t="s">
        <v>21</v>
      </c>
      <c r="D170">
        <v>49</v>
      </c>
      <c r="E170" t="s">
        <v>73</v>
      </c>
      <c r="F170" t="s">
        <v>62</v>
      </c>
      <c r="G170" t="s">
        <v>24</v>
      </c>
      <c r="H170" t="s">
        <v>25</v>
      </c>
      <c r="I170" t="s">
        <v>39</v>
      </c>
      <c r="J170" t="s">
        <v>40</v>
      </c>
      <c r="K170" s="2" t="s">
        <v>240</v>
      </c>
      <c r="L170" t="s">
        <v>42</v>
      </c>
      <c r="M170" t="s">
        <v>43</v>
      </c>
      <c r="N170" t="s">
        <v>52</v>
      </c>
      <c r="O170">
        <v>4</v>
      </c>
      <c r="P170" t="s">
        <v>86</v>
      </c>
      <c r="Q170">
        <v>17</v>
      </c>
      <c r="R170" s="15">
        <v>211101</v>
      </c>
      <c r="S170" s="15">
        <v>1224000</v>
      </c>
      <c r="T170" s="16">
        <v>7812899</v>
      </c>
      <c r="U170" t="str">
        <f t="shared" si="4"/>
        <v>no</v>
      </c>
      <c r="V170" t="str">
        <f t="shared" si="5"/>
        <v>standard</v>
      </c>
    </row>
    <row r="171" spans="1:22" x14ac:dyDescent="0.3">
      <c r="A171">
        <v>1170</v>
      </c>
      <c r="B171" t="s">
        <v>99</v>
      </c>
      <c r="C171" t="s">
        <v>34</v>
      </c>
      <c r="D171">
        <v>41</v>
      </c>
      <c r="E171" t="s">
        <v>61</v>
      </c>
      <c r="F171" t="s">
        <v>23</v>
      </c>
      <c r="G171" t="s">
        <v>91</v>
      </c>
      <c r="H171" t="s">
        <v>25</v>
      </c>
      <c r="I171" t="s">
        <v>76</v>
      </c>
      <c r="J171" t="s">
        <v>49</v>
      </c>
      <c r="K171" s="2" t="s">
        <v>158</v>
      </c>
      <c r="L171" t="s">
        <v>71</v>
      </c>
      <c r="M171" t="s">
        <v>94</v>
      </c>
      <c r="N171" t="s">
        <v>31</v>
      </c>
      <c r="O171">
        <v>3</v>
      </c>
      <c r="P171" t="s">
        <v>32</v>
      </c>
      <c r="Q171">
        <v>21</v>
      </c>
      <c r="R171" s="15">
        <v>153025</v>
      </c>
      <c r="S171" s="15">
        <v>2250000</v>
      </c>
      <c r="T171" s="16">
        <v>14596975</v>
      </c>
      <c r="U171" t="str">
        <f t="shared" si="4"/>
        <v>no</v>
      </c>
      <c r="V171" t="str">
        <f t="shared" si="5"/>
        <v>premium</v>
      </c>
    </row>
    <row r="172" spans="1:22" x14ac:dyDescent="0.3">
      <c r="A172">
        <v>1171</v>
      </c>
      <c r="B172" t="s">
        <v>95</v>
      </c>
      <c r="C172" t="s">
        <v>21</v>
      </c>
      <c r="D172">
        <v>49</v>
      </c>
      <c r="E172" t="s">
        <v>118</v>
      </c>
      <c r="F172" t="s">
        <v>55</v>
      </c>
      <c r="G172" t="s">
        <v>37</v>
      </c>
      <c r="H172" t="s">
        <v>38</v>
      </c>
      <c r="I172" t="s">
        <v>48</v>
      </c>
      <c r="J172" t="s">
        <v>49</v>
      </c>
      <c r="K172" s="2" t="s">
        <v>241</v>
      </c>
      <c r="L172" t="s">
        <v>42</v>
      </c>
      <c r="M172" t="s">
        <v>30</v>
      </c>
      <c r="N172" t="s">
        <v>31</v>
      </c>
      <c r="O172">
        <v>5</v>
      </c>
      <c r="P172" t="s">
        <v>86</v>
      </c>
      <c r="Q172">
        <v>16</v>
      </c>
      <c r="R172" s="15">
        <v>287025</v>
      </c>
      <c r="S172" s="15">
        <v>1350000</v>
      </c>
      <c r="T172" s="16">
        <v>8562975</v>
      </c>
      <c r="U172" t="str">
        <f t="shared" si="4"/>
        <v>no</v>
      </c>
      <c r="V172" t="str">
        <f t="shared" si="5"/>
        <v>standard</v>
      </c>
    </row>
    <row r="173" spans="1:22" x14ac:dyDescent="0.3">
      <c r="A173">
        <v>1172</v>
      </c>
      <c r="B173" t="s">
        <v>20</v>
      </c>
      <c r="C173" t="s">
        <v>34</v>
      </c>
      <c r="D173">
        <v>51</v>
      </c>
      <c r="E173" t="s">
        <v>35</v>
      </c>
      <c r="F173" t="s">
        <v>23</v>
      </c>
      <c r="G173" t="s">
        <v>37</v>
      </c>
      <c r="H173" t="s">
        <v>38</v>
      </c>
      <c r="I173" t="s">
        <v>76</v>
      </c>
      <c r="J173" t="s">
        <v>87</v>
      </c>
      <c r="K173" s="2" t="s">
        <v>242</v>
      </c>
      <c r="L173" t="s">
        <v>71</v>
      </c>
      <c r="M173" t="s">
        <v>30</v>
      </c>
      <c r="N173" t="s">
        <v>52</v>
      </c>
      <c r="O173">
        <v>3</v>
      </c>
      <c r="P173" t="s">
        <v>86</v>
      </c>
      <c r="Q173">
        <v>17</v>
      </c>
      <c r="R173" s="15">
        <v>92549</v>
      </c>
      <c r="S173" s="15">
        <v>1764000</v>
      </c>
      <c r="T173" s="16">
        <v>11471451</v>
      </c>
      <c r="U173" t="str">
        <f t="shared" si="4"/>
        <v>yes</v>
      </c>
      <c r="V173" t="str">
        <f t="shared" si="5"/>
        <v>premium</v>
      </c>
    </row>
    <row r="174" spans="1:22" x14ac:dyDescent="0.3">
      <c r="A174">
        <v>1173</v>
      </c>
      <c r="B174" t="s">
        <v>104</v>
      </c>
      <c r="C174" t="s">
        <v>34</v>
      </c>
      <c r="D174">
        <v>39</v>
      </c>
      <c r="E174" t="s">
        <v>82</v>
      </c>
      <c r="F174" t="s">
        <v>62</v>
      </c>
      <c r="G174" t="s">
        <v>69</v>
      </c>
      <c r="H174" t="s">
        <v>69</v>
      </c>
      <c r="I174" t="s">
        <v>97</v>
      </c>
      <c r="J174" t="s">
        <v>40</v>
      </c>
      <c r="K174" s="2" t="s">
        <v>243</v>
      </c>
      <c r="L174" t="s">
        <v>29</v>
      </c>
      <c r="M174" t="s">
        <v>78</v>
      </c>
      <c r="N174" t="s">
        <v>31</v>
      </c>
      <c r="O174">
        <v>5</v>
      </c>
      <c r="P174" t="s">
        <v>86</v>
      </c>
      <c r="Q174">
        <v>25</v>
      </c>
      <c r="R174" s="15">
        <v>285743</v>
      </c>
      <c r="S174" s="15">
        <v>1098000</v>
      </c>
      <c r="T174" s="16">
        <v>6912257</v>
      </c>
      <c r="U174" t="str">
        <f t="shared" si="4"/>
        <v>no</v>
      </c>
      <c r="V174" t="str">
        <f t="shared" si="5"/>
        <v>standard</v>
      </c>
    </row>
    <row r="175" spans="1:22" x14ac:dyDescent="0.3">
      <c r="A175">
        <v>1174</v>
      </c>
      <c r="B175" t="s">
        <v>72</v>
      </c>
      <c r="C175" t="s">
        <v>34</v>
      </c>
      <c r="D175">
        <v>29</v>
      </c>
      <c r="E175" t="s">
        <v>82</v>
      </c>
      <c r="F175" t="s">
        <v>62</v>
      </c>
      <c r="G175" t="s">
        <v>115</v>
      </c>
      <c r="H175" t="s">
        <v>106</v>
      </c>
      <c r="I175" t="s">
        <v>76</v>
      </c>
      <c r="J175" t="s">
        <v>40</v>
      </c>
      <c r="K175" s="2" t="s">
        <v>244</v>
      </c>
      <c r="L175" t="s">
        <v>29</v>
      </c>
      <c r="M175" t="s">
        <v>51</v>
      </c>
      <c r="N175" t="s">
        <v>52</v>
      </c>
      <c r="O175">
        <v>3</v>
      </c>
      <c r="P175" t="s">
        <v>32</v>
      </c>
      <c r="Q175">
        <v>6</v>
      </c>
      <c r="R175" s="15">
        <v>69079</v>
      </c>
      <c r="S175" s="15">
        <v>1098000</v>
      </c>
      <c r="T175" s="16">
        <v>7128921</v>
      </c>
      <c r="U175" t="str">
        <f t="shared" si="4"/>
        <v>no</v>
      </c>
      <c r="V175" t="str">
        <f t="shared" si="5"/>
        <v>standard</v>
      </c>
    </row>
    <row r="176" spans="1:22" x14ac:dyDescent="0.3">
      <c r="A176">
        <v>1175</v>
      </c>
      <c r="B176" t="s">
        <v>20</v>
      </c>
      <c r="C176" t="s">
        <v>21</v>
      </c>
      <c r="D176">
        <v>32</v>
      </c>
      <c r="E176" t="s">
        <v>90</v>
      </c>
      <c r="F176" t="s">
        <v>36</v>
      </c>
      <c r="G176" t="s">
        <v>47</v>
      </c>
      <c r="H176" t="s">
        <v>25</v>
      </c>
      <c r="I176" t="s">
        <v>97</v>
      </c>
      <c r="J176" t="s">
        <v>87</v>
      </c>
      <c r="K176" s="2" t="s">
        <v>245</v>
      </c>
      <c r="L176" t="s">
        <v>59</v>
      </c>
      <c r="M176" t="s">
        <v>43</v>
      </c>
      <c r="N176" t="s">
        <v>31</v>
      </c>
      <c r="O176">
        <v>5</v>
      </c>
      <c r="P176" t="s">
        <v>53</v>
      </c>
      <c r="Q176">
        <v>9</v>
      </c>
      <c r="R176" s="15">
        <v>167241</v>
      </c>
      <c r="S176" s="15">
        <v>702000</v>
      </c>
      <c r="T176" s="16">
        <v>4434759</v>
      </c>
      <c r="U176" t="str">
        <f t="shared" si="4"/>
        <v>no</v>
      </c>
      <c r="V176" t="str">
        <f t="shared" si="5"/>
        <v>budget</v>
      </c>
    </row>
    <row r="177" spans="1:22" x14ac:dyDescent="0.3">
      <c r="A177">
        <v>1176</v>
      </c>
      <c r="B177" t="s">
        <v>33</v>
      </c>
      <c r="C177" t="s">
        <v>34</v>
      </c>
      <c r="D177">
        <v>25</v>
      </c>
      <c r="E177" t="s">
        <v>68</v>
      </c>
      <c r="F177" t="s">
        <v>36</v>
      </c>
      <c r="G177" t="s">
        <v>105</v>
      </c>
      <c r="H177" t="s">
        <v>106</v>
      </c>
      <c r="I177" t="s">
        <v>26</v>
      </c>
      <c r="J177" t="s">
        <v>87</v>
      </c>
      <c r="K177" s="2" t="s">
        <v>246</v>
      </c>
      <c r="L177" t="s">
        <v>66</v>
      </c>
      <c r="M177" t="s">
        <v>94</v>
      </c>
      <c r="N177" t="s">
        <v>52</v>
      </c>
      <c r="O177">
        <v>5</v>
      </c>
      <c r="P177" t="s">
        <v>53</v>
      </c>
      <c r="Q177">
        <v>24</v>
      </c>
      <c r="R177" s="15">
        <v>180382</v>
      </c>
      <c r="S177" s="15">
        <v>846000</v>
      </c>
      <c r="T177" s="16">
        <v>5365618</v>
      </c>
      <c r="U177" t="str">
        <f t="shared" si="4"/>
        <v>no</v>
      </c>
      <c r="V177" t="str">
        <f t="shared" si="5"/>
        <v>standard</v>
      </c>
    </row>
    <row r="178" spans="1:22" x14ac:dyDescent="0.3">
      <c r="A178">
        <v>1177</v>
      </c>
      <c r="B178" t="s">
        <v>95</v>
      </c>
      <c r="C178" t="s">
        <v>34</v>
      </c>
      <c r="D178">
        <v>30</v>
      </c>
      <c r="E178" t="s">
        <v>22</v>
      </c>
      <c r="F178" t="s">
        <v>62</v>
      </c>
      <c r="G178" t="s">
        <v>56</v>
      </c>
      <c r="H178" t="s">
        <v>57</v>
      </c>
      <c r="I178" t="s">
        <v>26</v>
      </c>
      <c r="J178" t="s">
        <v>87</v>
      </c>
      <c r="K178" s="2" t="s">
        <v>247</v>
      </c>
      <c r="L178" t="s">
        <v>29</v>
      </c>
      <c r="M178" t="s">
        <v>51</v>
      </c>
      <c r="N178" t="s">
        <v>31</v>
      </c>
      <c r="O178">
        <v>5</v>
      </c>
      <c r="P178" t="s">
        <v>86</v>
      </c>
      <c r="Q178">
        <v>20</v>
      </c>
      <c r="R178" s="15">
        <v>119292</v>
      </c>
      <c r="S178" s="15">
        <v>756000</v>
      </c>
      <c r="T178" s="16">
        <v>4836708</v>
      </c>
      <c r="U178" t="str">
        <f t="shared" si="4"/>
        <v>no</v>
      </c>
      <c r="V178" t="str">
        <f t="shared" si="5"/>
        <v>standard</v>
      </c>
    </row>
    <row r="179" spans="1:22" x14ac:dyDescent="0.3">
      <c r="A179">
        <v>1178</v>
      </c>
      <c r="B179" t="s">
        <v>54</v>
      </c>
      <c r="C179" t="s">
        <v>21</v>
      </c>
      <c r="D179">
        <v>43</v>
      </c>
      <c r="E179" t="s">
        <v>22</v>
      </c>
      <c r="F179" t="s">
        <v>23</v>
      </c>
      <c r="G179" t="s">
        <v>24</v>
      </c>
      <c r="H179" t="s">
        <v>25</v>
      </c>
      <c r="I179" t="s">
        <v>39</v>
      </c>
      <c r="J179" t="s">
        <v>40</v>
      </c>
      <c r="K179" s="2" t="s">
        <v>248</v>
      </c>
      <c r="L179" t="s">
        <v>29</v>
      </c>
      <c r="M179" t="s">
        <v>43</v>
      </c>
      <c r="N179" t="s">
        <v>31</v>
      </c>
      <c r="O179">
        <v>5</v>
      </c>
      <c r="P179" t="s">
        <v>44</v>
      </c>
      <c r="Q179">
        <v>11</v>
      </c>
      <c r="R179" s="15">
        <v>61440</v>
      </c>
      <c r="S179" s="15">
        <v>756000</v>
      </c>
      <c r="T179" s="16">
        <v>4894560</v>
      </c>
      <c r="U179" t="str">
        <f t="shared" si="4"/>
        <v>no</v>
      </c>
      <c r="V179" t="str">
        <f t="shared" si="5"/>
        <v>standard</v>
      </c>
    </row>
    <row r="180" spans="1:22" x14ac:dyDescent="0.3">
      <c r="A180">
        <v>1179</v>
      </c>
      <c r="B180" t="s">
        <v>79</v>
      </c>
      <c r="C180" t="s">
        <v>21</v>
      </c>
      <c r="D180">
        <v>32</v>
      </c>
      <c r="E180" t="s">
        <v>112</v>
      </c>
      <c r="F180" t="s">
        <v>62</v>
      </c>
      <c r="G180" t="s">
        <v>24</v>
      </c>
      <c r="H180" t="s">
        <v>25</v>
      </c>
      <c r="I180" t="s">
        <v>26</v>
      </c>
      <c r="J180" t="s">
        <v>40</v>
      </c>
      <c r="K180" s="2" t="s">
        <v>249</v>
      </c>
      <c r="L180" t="s">
        <v>42</v>
      </c>
      <c r="M180" t="s">
        <v>78</v>
      </c>
      <c r="N180" t="s">
        <v>52</v>
      </c>
      <c r="O180">
        <v>5</v>
      </c>
      <c r="P180" t="s">
        <v>53</v>
      </c>
      <c r="Q180">
        <v>18</v>
      </c>
      <c r="R180" s="15">
        <v>121922</v>
      </c>
      <c r="S180" s="15">
        <v>936000</v>
      </c>
      <c r="T180" s="16">
        <v>6014078</v>
      </c>
      <c r="U180" t="str">
        <f t="shared" si="4"/>
        <v>no</v>
      </c>
      <c r="V180" t="str">
        <f t="shared" si="5"/>
        <v>standard</v>
      </c>
    </row>
    <row r="181" spans="1:22" x14ac:dyDescent="0.3">
      <c r="A181">
        <v>1180</v>
      </c>
      <c r="B181" t="s">
        <v>99</v>
      </c>
      <c r="C181" t="s">
        <v>34</v>
      </c>
      <c r="D181">
        <v>49</v>
      </c>
      <c r="E181" t="s">
        <v>46</v>
      </c>
      <c r="F181" t="s">
        <v>23</v>
      </c>
      <c r="G181" t="s">
        <v>115</v>
      </c>
      <c r="H181" t="s">
        <v>106</v>
      </c>
      <c r="I181" t="s">
        <v>26</v>
      </c>
      <c r="J181" t="s">
        <v>87</v>
      </c>
      <c r="K181" s="2" t="s">
        <v>250</v>
      </c>
      <c r="L181" t="s">
        <v>29</v>
      </c>
      <c r="M181" t="s">
        <v>94</v>
      </c>
      <c r="N181" t="s">
        <v>31</v>
      </c>
      <c r="O181">
        <v>2</v>
      </c>
      <c r="P181" t="s">
        <v>86</v>
      </c>
      <c r="Q181">
        <v>10</v>
      </c>
      <c r="R181" s="15">
        <v>92380</v>
      </c>
      <c r="S181" s="15">
        <v>5760000</v>
      </c>
      <c r="T181" s="16">
        <v>37667620</v>
      </c>
      <c r="U181" t="str">
        <f t="shared" si="4"/>
        <v>yes</v>
      </c>
      <c r="V181" t="str">
        <f t="shared" si="5"/>
        <v>ultra premium</v>
      </c>
    </row>
    <row r="182" spans="1:22" x14ac:dyDescent="0.3">
      <c r="A182">
        <v>1181</v>
      </c>
      <c r="B182" t="s">
        <v>54</v>
      </c>
      <c r="C182" t="s">
        <v>34</v>
      </c>
      <c r="D182">
        <v>26</v>
      </c>
      <c r="E182" t="s">
        <v>22</v>
      </c>
      <c r="F182" t="s">
        <v>55</v>
      </c>
      <c r="G182" t="s">
        <v>47</v>
      </c>
      <c r="H182" t="s">
        <v>25</v>
      </c>
      <c r="I182" t="s">
        <v>48</v>
      </c>
      <c r="J182" t="s">
        <v>49</v>
      </c>
      <c r="K182" s="2" t="s">
        <v>251</v>
      </c>
      <c r="L182" t="s">
        <v>59</v>
      </c>
      <c r="M182" t="s">
        <v>78</v>
      </c>
      <c r="N182" t="s">
        <v>31</v>
      </c>
      <c r="O182">
        <v>4</v>
      </c>
      <c r="P182" t="s">
        <v>32</v>
      </c>
      <c r="Q182">
        <v>6</v>
      </c>
      <c r="R182" s="15">
        <v>53280</v>
      </c>
      <c r="S182" s="15">
        <v>756000</v>
      </c>
      <c r="T182" s="16">
        <v>4902720</v>
      </c>
      <c r="U182" t="str">
        <f t="shared" si="4"/>
        <v>no</v>
      </c>
      <c r="V182" t="str">
        <f t="shared" si="5"/>
        <v>standard</v>
      </c>
    </row>
    <row r="183" spans="1:22" x14ac:dyDescent="0.3">
      <c r="A183">
        <v>1182</v>
      </c>
      <c r="B183" t="s">
        <v>114</v>
      </c>
      <c r="C183" t="s">
        <v>21</v>
      </c>
      <c r="D183">
        <v>53</v>
      </c>
      <c r="E183" t="s">
        <v>118</v>
      </c>
      <c r="F183" t="s">
        <v>62</v>
      </c>
      <c r="G183" t="s">
        <v>69</v>
      </c>
      <c r="H183" t="s">
        <v>69</v>
      </c>
      <c r="I183" t="s">
        <v>26</v>
      </c>
      <c r="J183" t="s">
        <v>49</v>
      </c>
      <c r="K183" s="2" t="s">
        <v>185</v>
      </c>
      <c r="L183" t="s">
        <v>71</v>
      </c>
      <c r="M183" t="s">
        <v>94</v>
      </c>
      <c r="N183" t="s">
        <v>52</v>
      </c>
      <c r="O183">
        <v>4</v>
      </c>
      <c r="P183" t="s">
        <v>53</v>
      </c>
      <c r="Q183">
        <v>18</v>
      </c>
      <c r="R183" s="15">
        <v>279187</v>
      </c>
      <c r="S183" s="15">
        <v>1350000</v>
      </c>
      <c r="T183" s="16">
        <v>8570813</v>
      </c>
      <c r="U183" t="str">
        <f t="shared" si="4"/>
        <v>no</v>
      </c>
      <c r="V183" t="str">
        <f t="shared" si="5"/>
        <v>standard</v>
      </c>
    </row>
    <row r="184" spans="1:22" x14ac:dyDescent="0.3">
      <c r="A184">
        <v>1183</v>
      </c>
      <c r="B184" t="s">
        <v>81</v>
      </c>
      <c r="C184" t="s">
        <v>21</v>
      </c>
      <c r="D184">
        <v>59</v>
      </c>
      <c r="E184" t="s">
        <v>73</v>
      </c>
      <c r="F184" t="s">
        <v>62</v>
      </c>
      <c r="G184" t="s">
        <v>47</v>
      </c>
      <c r="H184" t="s">
        <v>25</v>
      </c>
      <c r="I184" t="s">
        <v>26</v>
      </c>
      <c r="J184" t="s">
        <v>49</v>
      </c>
      <c r="K184" s="2" t="s">
        <v>252</v>
      </c>
      <c r="L184" t="s">
        <v>59</v>
      </c>
      <c r="M184" t="s">
        <v>30</v>
      </c>
      <c r="N184" t="s">
        <v>31</v>
      </c>
      <c r="O184">
        <v>5</v>
      </c>
      <c r="P184" t="s">
        <v>32</v>
      </c>
      <c r="Q184">
        <v>25</v>
      </c>
      <c r="R184" s="15">
        <v>203243</v>
      </c>
      <c r="S184" s="15">
        <v>1224000</v>
      </c>
      <c r="T184" s="16">
        <v>7820757</v>
      </c>
      <c r="U184" t="str">
        <f t="shared" si="4"/>
        <v>no</v>
      </c>
      <c r="V184" t="str">
        <f t="shared" si="5"/>
        <v>standard</v>
      </c>
    </row>
    <row r="185" spans="1:22" x14ac:dyDescent="0.3">
      <c r="A185">
        <v>1184</v>
      </c>
      <c r="B185" t="s">
        <v>54</v>
      </c>
      <c r="C185" t="s">
        <v>21</v>
      </c>
      <c r="D185">
        <v>52</v>
      </c>
      <c r="E185" t="s">
        <v>90</v>
      </c>
      <c r="F185" t="s">
        <v>62</v>
      </c>
      <c r="G185" t="s">
        <v>24</v>
      </c>
      <c r="H185" t="s">
        <v>25</v>
      </c>
      <c r="I185" t="s">
        <v>26</v>
      </c>
      <c r="J185" t="s">
        <v>27</v>
      </c>
      <c r="K185" s="2" t="s">
        <v>147</v>
      </c>
      <c r="L185" t="s">
        <v>59</v>
      </c>
      <c r="M185" t="s">
        <v>43</v>
      </c>
      <c r="N185" t="s">
        <v>52</v>
      </c>
      <c r="O185">
        <v>5</v>
      </c>
      <c r="P185" t="s">
        <v>44</v>
      </c>
      <c r="Q185">
        <v>21</v>
      </c>
      <c r="R185" s="15">
        <v>215247</v>
      </c>
      <c r="S185" s="15">
        <v>702000</v>
      </c>
      <c r="T185" s="16">
        <v>4386753</v>
      </c>
      <c r="U185" t="str">
        <f t="shared" si="4"/>
        <v>no</v>
      </c>
      <c r="V185" t="str">
        <f t="shared" si="5"/>
        <v>budget</v>
      </c>
    </row>
    <row r="186" spans="1:22" x14ac:dyDescent="0.3">
      <c r="A186">
        <v>1185</v>
      </c>
      <c r="B186" t="s">
        <v>99</v>
      </c>
      <c r="C186" t="s">
        <v>21</v>
      </c>
      <c r="D186">
        <v>44</v>
      </c>
      <c r="E186" t="s">
        <v>112</v>
      </c>
      <c r="F186" t="s">
        <v>55</v>
      </c>
      <c r="G186" t="s">
        <v>37</v>
      </c>
      <c r="H186" t="s">
        <v>38</v>
      </c>
      <c r="I186" t="s">
        <v>48</v>
      </c>
      <c r="J186" t="s">
        <v>40</v>
      </c>
      <c r="K186" s="2" t="s">
        <v>253</v>
      </c>
      <c r="L186" t="s">
        <v>71</v>
      </c>
      <c r="M186" t="s">
        <v>51</v>
      </c>
      <c r="N186" t="s">
        <v>31</v>
      </c>
      <c r="O186">
        <v>3</v>
      </c>
      <c r="P186" t="s">
        <v>86</v>
      </c>
      <c r="Q186">
        <v>19</v>
      </c>
      <c r="R186" s="15">
        <v>80094</v>
      </c>
      <c r="S186" s="15">
        <v>936000</v>
      </c>
      <c r="T186" s="16">
        <v>6055906</v>
      </c>
      <c r="U186" t="str">
        <f t="shared" si="4"/>
        <v>no</v>
      </c>
      <c r="V186" t="str">
        <f t="shared" si="5"/>
        <v>standard</v>
      </c>
    </row>
    <row r="187" spans="1:22" x14ac:dyDescent="0.3">
      <c r="A187">
        <v>1186</v>
      </c>
      <c r="B187" t="s">
        <v>33</v>
      </c>
      <c r="C187" t="s">
        <v>34</v>
      </c>
      <c r="D187">
        <v>41</v>
      </c>
      <c r="E187" t="s">
        <v>68</v>
      </c>
      <c r="F187" t="s">
        <v>23</v>
      </c>
      <c r="G187" t="s">
        <v>115</v>
      </c>
      <c r="H187" t="s">
        <v>106</v>
      </c>
      <c r="I187" t="s">
        <v>39</v>
      </c>
      <c r="J187" t="s">
        <v>27</v>
      </c>
      <c r="K187" s="2" t="s">
        <v>254</v>
      </c>
      <c r="L187" t="s">
        <v>66</v>
      </c>
      <c r="M187" t="s">
        <v>30</v>
      </c>
      <c r="N187" t="s">
        <v>31</v>
      </c>
      <c r="O187">
        <v>5</v>
      </c>
      <c r="P187" t="s">
        <v>53</v>
      </c>
      <c r="Q187">
        <v>15</v>
      </c>
      <c r="R187" s="15">
        <v>160120</v>
      </c>
      <c r="S187" s="15">
        <v>846000</v>
      </c>
      <c r="T187" s="16">
        <v>5385880</v>
      </c>
      <c r="U187" t="str">
        <f t="shared" si="4"/>
        <v>no</v>
      </c>
      <c r="V187" t="str">
        <f t="shared" si="5"/>
        <v>standard</v>
      </c>
    </row>
    <row r="188" spans="1:22" x14ac:dyDescent="0.3">
      <c r="A188">
        <v>1187</v>
      </c>
      <c r="B188" t="s">
        <v>99</v>
      </c>
      <c r="C188" t="s">
        <v>21</v>
      </c>
      <c r="D188">
        <v>52</v>
      </c>
      <c r="E188" t="s">
        <v>118</v>
      </c>
      <c r="F188" t="s">
        <v>36</v>
      </c>
      <c r="G188" t="s">
        <v>105</v>
      </c>
      <c r="H188" t="s">
        <v>106</v>
      </c>
      <c r="I188" t="s">
        <v>97</v>
      </c>
      <c r="J188" t="s">
        <v>87</v>
      </c>
      <c r="K188" s="2" t="s">
        <v>255</v>
      </c>
      <c r="L188" t="s">
        <v>59</v>
      </c>
      <c r="M188" t="s">
        <v>78</v>
      </c>
      <c r="N188" t="s">
        <v>52</v>
      </c>
      <c r="O188">
        <v>4</v>
      </c>
      <c r="P188" t="s">
        <v>32</v>
      </c>
      <c r="Q188">
        <v>9</v>
      </c>
      <c r="R188" s="15">
        <v>50999</v>
      </c>
      <c r="S188" s="15">
        <v>1350000</v>
      </c>
      <c r="T188" s="16">
        <v>8799001</v>
      </c>
      <c r="U188" t="str">
        <f t="shared" si="4"/>
        <v>no</v>
      </c>
      <c r="V188" t="str">
        <f t="shared" si="5"/>
        <v>standard</v>
      </c>
    </row>
    <row r="189" spans="1:22" x14ac:dyDescent="0.3">
      <c r="A189">
        <v>1188</v>
      </c>
      <c r="B189" t="s">
        <v>81</v>
      </c>
      <c r="C189" t="s">
        <v>34</v>
      </c>
      <c r="D189">
        <v>46</v>
      </c>
      <c r="E189" t="s">
        <v>22</v>
      </c>
      <c r="F189" t="s">
        <v>23</v>
      </c>
      <c r="G189" t="s">
        <v>56</v>
      </c>
      <c r="H189" t="s">
        <v>57</v>
      </c>
      <c r="I189" t="s">
        <v>39</v>
      </c>
      <c r="J189" t="s">
        <v>49</v>
      </c>
      <c r="K189" s="2" t="s">
        <v>256</v>
      </c>
      <c r="L189" t="s">
        <v>29</v>
      </c>
      <c r="M189" t="s">
        <v>43</v>
      </c>
      <c r="N189" t="s">
        <v>52</v>
      </c>
      <c r="O189">
        <v>4</v>
      </c>
      <c r="P189" t="s">
        <v>86</v>
      </c>
      <c r="Q189">
        <v>21</v>
      </c>
      <c r="R189" s="15">
        <v>200978</v>
      </c>
      <c r="S189" s="15">
        <v>756000</v>
      </c>
      <c r="T189" s="16">
        <v>4755022</v>
      </c>
      <c r="U189" t="str">
        <f t="shared" si="4"/>
        <v>no</v>
      </c>
      <c r="V189" t="str">
        <f t="shared" si="5"/>
        <v>standard</v>
      </c>
    </row>
    <row r="190" spans="1:22" x14ac:dyDescent="0.3">
      <c r="A190">
        <v>1189</v>
      </c>
      <c r="B190" t="s">
        <v>95</v>
      </c>
      <c r="C190" t="s">
        <v>34</v>
      </c>
      <c r="D190">
        <v>40</v>
      </c>
      <c r="E190" t="s">
        <v>22</v>
      </c>
      <c r="F190" t="s">
        <v>55</v>
      </c>
      <c r="G190" t="s">
        <v>74</v>
      </c>
      <c r="H190" t="s">
        <v>75</v>
      </c>
      <c r="I190" t="s">
        <v>76</v>
      </c>
      <c r="J190" t="s">
        <v>87</v>
      </c>
      <c r="K190" s="2" t="s">
        <v>257</v>
      </c>
      <c r="L190" t="s">
        <v>71</v>
      </c>
      <c r="M190" t="s">
        <v>43</v>
      </c>
      <c r="N190" t="s">
        <v>31</v>
      </c>
      <c r="O190">
        <v>2</v>
      </c>
      <c r="P190" t="s">
        <v>53</v>
      </c>
      <c r="Q190">
        <v>10</v>
      </c>
      <c r="R190" s="15">
        <v>122384</v>
      </c>
      <c r="S190" s="15">
        <v>756000</v>
      </c>
      <c r="T190" s="16">
        <v>4833616</v>
      </c>
      <c r="U190" t="str">
        <f t="shared" si="4"/>
        <v>no</v>
      </c>
      <c r="V190" t="str">
        <f t="shared" si="5"/>
        <v>standard</v>
      </c>
    </row>
    <row r="191" spans="1:22" x14ac:dyDescent="0.3">
      <c r="A191">
        <v>1190</v>
      </c>
      <c r="B191" t="s">
        <v>99</v>
      </c>
      <c r="C191" t="s">
        <v>21</v>
      </c>
      <c r="D191">
        <v>36</v>
      </c>
      <c r="E191" t="s">
        <v>118</v>
      </c>
      <c r="F191" t="s">
        <v>23</v>
      </c>
      <c r="G191" t="s">
        <v>37</v>
      </c>
      <c r="H191" t="s">
        <v>38</v>
      </c>
      <c r="I191" t="s">
        <v>48</v>
      </c>
      <c r="J191" t="s">
        <v>27</v>
      </c>
      <c r="K191" s="2" t="s">
        <v>258</v>
      </c>
      <c r="L191" t="s">
        <v>42</v>
      </c>
      <c r="M191" t="s">
        <v>51</v>
      </c>
      <c r="N191" t="s">
        <v>31</v>
      </c>
      <c r="O191">
        <v>2</v>
      </c>
      <c r="P191" t="s">
        <v>44</v>
      </c>
      <c r="Q191">
        <v>8</v>
      </c>
      <c r="R191" s="15">
        <v>138803</v>
      </c>
      <c r="S191" s="15">
        <v>1350000</v>
      </c>
      <c r="T191" s="16">
        <v>8711197</v>
      </c>
      <c r="U191" t="str">
        <f t="shared" si="4"/>
        <v>no</v>
      </c>
      <c r="V191" t="str">
        <f t="shared" si="5"/>
        <v>standard</v>
      </c>
    </row>
    <row r="192" spans="1:22" x14ac:dyDescent="0.3">
      <c r="A192">
        <v>1191</v>
      </c>
      <c r="B192" t="s">
        <v>104</v>
      </c>
      <c r="C192" t="s">
        <v>21</v>
      </c>
      <c r="D192">
        <v>48</v>
      </c>
      <c r="E192" t="s">
        <v>90</v>
      </c>
      <c r="F192" t="s">
        <v>23</v>
      </c>
      <c r="G192" t="s">
        <v>24</v>
      </c>
      <c r="H192" t="s">
        <v>25</v>
      </c>
      <c r="I192" t="s">
        <v>97</v>
      </c>
      <c r="J192" t="s">
        <v>40</v>
      </c>
      <c r="K192" s="2" t="s">
        <v>259</v>
      </c>
      <c r="L192" t="s">
        <v>59</v>
      </c>
      <c r="M192" t="s">
        <v>94</v>
      </c>
      <c r="N192" t="s">
        <v>31</v>
      </c>
      <c r="O192">
        <v>2</v>
      </c>
      <c r="P192" t="s">
        <v>86</v>
      </c>
      <c r="Q192">
        <v>18</v>
      </c>
      <c r="R192" s="15">
        <v>203240</v>
      </c>
      <c r="S192" s="15">
        <v>702000</v>
      </c>
      <c r="T192" s="16">
        <v>4398760</v>
      </c>
      <c r="U192" t="str">
        <f t="shared" si="4"/>
        <v>no</v>
      </c>
      <c r="V192" t="str">
        <f t="shared" si="5"/>
        <v>budget</v>
      </c>
    </row>
    <row r="193" spans="1:22" x14ac:dyDescent="0.3">
      <c r="A193">
        <v>1192</v>
      </c>
      <c r="B193" t="s">
        <v>81</v>
      </c>
      <c r="C193" t="s">
        <v>34</v>
      </c>
      <c r="D193">
        <v>52</v>
      </c>
      <c r="E193" t="s">
        <v>35</v>
      </c>
      <c r="F193" t="s">
        <v>62</v>
      </c>
      <c r="G193" t="s">
        <v>69</v>
      </c>
      <c r="H193" t="s">
        <v>69</v>
      </c>
      <c r="I193" t="s">
        <v>26</v>
      </c>
      <c r="J193" t="s">
        <v>40</v>
      </c>
      <c r="K193" s="2" t="s">
        <v>260</v>
      </c>
      <c r="L193" t="s">
        <v>71</v>
      </c>
      <c r="M193" t="s">
        <v>30</v>
      </c>
      <c r="N193" t="s">
        <v>31</v>
      </c>
      <c r="O193">
        <v>4</v>
      </c>
      <c r="P193" t="s">
        <v>32</v>
      </c>
      <c r="Q193">
        <v>10</v>
      </c>
      <c r="R193" s="15">
        <v>104452</v>
      </c>
      <c r="S193" s="15">
        <v>1764000</v>
      </c>
      <c r="T193" s="16">
        <v>11459548</v>
      </c>
      <c r="U193" t="str">
        <f t="shared" si="4"/>
        <v>yes</v>
      </c>
      <c r="V193" t="str">
        <f t="shared" si="5"/>
        <v>premium</v>
      </c>
    </row>
    <row r="194" spans="1:22" x14ac:dyDescent="0.3">
      <c r="A194">
        <v>1193</v>
      </c>
      <c r="B194" t="s">
        <v>114</v>
      </c>
      <c r="C194" t="s">
        <v>21</v>
      </c>
      <c r="D194">
        <v>40</v>
      </c>
      <c r="E194" t="s">
        <v>112</v>
      </c>
      <c r="F194" t="s">
        <v>36</v>
      </c>
      <c r="G194" t="s">
        <v>56</v>
      </c>
      <c r="H194" t="s">
        <v>57</v>
      </c>
      <c r="I194" t="s">
        <v>26</v>
      </c>
      <c r="J194" t="s">
        <v>27</v>
      </c>
      <c r="K194" s="2" t="s">
        <v>261</v>
      </c>
      <c r="L194" t="s">
        <v>29</v>
      </c>
      <c r="M194" t="s">
        <v>43</v>
      </c>
      <c r="N194" t="s">
        <v>31</v>
      </c>
      <c r="O194">
        <v>4</v>
      </c>
      <c r="P194" t="s">
        <v>53</v>
      </c>
      <c r="Q194">
        <v>18</v>
      </c>
      <c r="R194" s="15">
        <v>121601</v>
      </c>
      <c r="S194" s="15">
        <v>936000</v>
      </c>
      <c r="T194" s="16">
        <v>6014399</v>
      </c>
      <c r="U194" t="str">
        <f t="shared" si="4"/>
        <v>no</v>
      </c>
      <c r="V194" t="str">
        <f t="shared" si="5"/>
        <v>standard</v>
      </c>
    </row>
    <row r="195" spans="1:22" x14ac:dyDescent="0.3">
      <c r="A195">
        <v>1194</v>
      </c>
      <c r="B195" t="s">
        <v>99</v>
      </c>
      <c r="C195" t="s">
        <v>21</v>
      </c>
      <c r="D195">
        <v>45</v>
      </c>
      <c r="E195" t="s">
        <v>68</v>
      </c>
      <c r="F195" t="s">
        <v>36</v>
      </c>
      <c r="G195" t="s">
        <v>115</v>
      </c>
      <c r="H195" t="s">
        <v>106</v>
      </c>
      <c r="I195" t="s">
        <v>48</v>
      </c>
      <c r="J195" t="s">
        <v>40</v>
      </c>
      <c r="K195" s="2" t="s">
        <v>262</v>
      </c>
      <c r="L195" t="s">
        <v>71</v>
      </c>
      <c r="M195" t="s">
        <v>51</v>
      </c>
      <c r="N195" t="s">
        <v>52</v>
      </c>
      <c r="O195">
        <v>4</v>
      </c>
      <c r="P195" t="s">
        <v>53</v>
      </c>
      <c r="Q195">
        <v>12</v>
      </c>
      <c r="R195" s="15">
        <v>128724</v>
      </c>
      <c r="S195" s="15">
        <v>846000</v>
      </c>
      <c r="T195" s="16">
        <v>5417276</v>
      </c>
      <c r="U195" t="str">
        <f t="shared" ref="U195:U258" si="6">IF(OR(E195="AMG C43",E195="AMG G63"),"yes","no")</f>
        <v>no</v>
      </c>
      <c r="V195" t="str">
        <f t="shared" ref="V195:V258" si="7">IF(T195&gt;=20000000,"ultra premium",IF(T195&gt;=10000000,"premium",IF(T195&gt;=4500000,"standard","budget")))</f>
        <v>standard</v>
      </c>
    </row>
    <row r="196" spans="1:22" x14ac:dyDescent="0.3">
      <c r="A196">
        <v>1195</v>
      </c>
      <c r="B196" t="s">
        <v>79</v>
      </c>
      <c r="C196" t="s">
        <v>21</v>
      </c>
      <c r="D196">
        <v>38</v>
      </c>
      <c r="E196" t="s">
        <v>46</v>
      </c>
      <c r="F196" t="s">
        <v>55</v>
      </c>
      <c r="G196" t="s">
        <v>47</v>
      </c>
      <c r="H196" t="s">
        <v>25</v>
      </c>
      <c r="I196" t="s">
        <v>76</v>
      </c>
      <c r="J196" t="s">
        <v>49</v>
      </c>
      <c r="K196" s="2" t="s">
        <v>263</v>
      </c>
      <c r="L196" t="s">
        <v>59</v>
      </c>
      <c r="M196" t="s">
        <v>78</v>
      </c>
      <c r="N196" t="s">
        <v>31</v>
      </c>
      <c r="O196">
        <v>4</v>
      </c>
      <c r="P196" t="s">
        <v>86</v>
      </c>
      <c r="Q196">
        <v>8</v>
      </c>
      <c r="R196" s="15">
        <v>192645</v>
      </c>
      <c r="S196" s="15">
        <v>5760000</v>
      </c>
      <c r="T196" s="16">
        <v>37567355</v>
      </c>
      <c r="U196" t="str">
        <f t="shared" si="6"/>
        <v>yes</v>
      </c>
      <c r="V196" t="str">
        <f t="shared" si="7"/>
        <v>ultra premium</v>
      </c>
    </row>
    <row r="197" spans="1:22" x14ac:dyDescent="0.3">
      <c r="A197">
        <v>1196</v>
      </c>
      <c r="B197" t="s">
        <v>104</v>
      </c>
      <c r="C197" t="s">
        <v>21</v>
      </c>
      <c r="D197">
        <v>49</v>
      </c>
      <c r="E197" t="s">
        <v>82</v>
      </c>
      <c r="F197" t="s">
        <v>36</v>
      </c>
      <c r="G197" t="s">
        <v>24</v>
      </c>
      <c r="H197" t="s">
        <v>25</v>
      </c>
      <c r="I197" t="s">
        <v>97</v>
      </c>
      <c r="J197" t="s">
        <v>87</v>
      </c>
      <c r="K197" s="2" t="s">
        <v>264</v>
      </c>
      <c r="L197" t="s">
        <v>71</v>
      </c>
      <c r="M197" t="s">
        <v>30</v>
      </c>
      <c r="N197" t="s">
        <v>52</v>
      </c>
      <c r="O197">
        <v>3</v>
      </c>
      <c r="P197" t="s">
        <v>32</v>
      </c>
      <c r="Q197">
        <v>5</v>
      </c>
      <c r="R197" s="15">
        <v>213986</v>
      </c>
      <c r="S197" s="15">
        <v>1098000</v>
      </c>
      <c r="T197" s="16">
        <v>6984014</v>
      </c>
      <c r="U197" t="str">
        <f t="shared" si="6"/>
        <v>no</v>
      </c>
      <c r="V197" t="str">
        <f t="shared" si="7"/>
        <v>standard</v>
      </c>
    </row>
    <row r="198" spans="1:22" x14ac:dyDescent="0.3">
      <c r="A198">
        <v>1197</v>
      </c>
      <c r="B198" t="s">
        <v>20</v>
      </c>
      <c r="C198" t="s">
        <v>34</v>
      </c>
      <c r="D198">
        <v>39</v>
      </c>
      <c r="E198" t="s">
        <v>35</v>
      </c>
      <c r="F198" t="s">
        <v>62</v>
      </c>
      <c r="G198" t="s">
        <v>115</v>
      </c>
      <c r="H198" t="s">
        <v>106</v>
      </c>
      <c r="I198" t="s">
        <v>48</v>
      </c>
      <c r="J198" t="s">
        <v>27</v>
      </c>
      <c r="K198" s="2" t="s">
        <v>265</v>
      </c>
      <c r="L198" t="s">
        <v>59</v>
      </c>
      <c r="M198" t="s">
        <v>43</v>
      </c>
      <c r="N198" t="s">
        <v>52</v>
      </c>
      <c r="O198">
        <v>5</v>
      </c>
      <c r="P198" t="s">
        <v>53</v>
      </c>
      <c r="Q198">
        <v>14</v>
      </c>
      <c r="R198" s="15">
        <v>82212</v>
      </c>
      <c r="S198" s="15">
        <v>1764000</v>
      </c>
      <c r="T198" s="16">
        <v>11481788</v>
      </c>
      <c r="U198" t="str">
        <f t="shared" si="6"/>
        <v>yes</v>
      </c>
      <c r="V198" t="str">
        <f t="shared" si="7"/>
        <v>premium</v>
      </c>
    </row>
    <row r="199" spans="1:22" x14ac:dyDescent="0.3">
      <c r="A199">
        <v>1198</v>
      </c>
      <c r="B199" t="s">
        <v>95</v>
      </c>
      <c r="C199" t="s">
        <v>34</v>
      </c>
      <c r="D199">
        <v>25</v>
      </c>
      <c r="E199" t="s">
        <v>90</v>
      </c>
      <c r="F199" t="s">
        <v>62</v>
      </c>
      <c r="G199" t="s">
        <v>63</v>
      </c>
      <c r="H199" t="s">
        <v>64</v>
      </c>
      <c r="I199" t="s">
        <v>26</v>
      </c>
      <c r="J199" t="s">
        <v>87</v>
      </c>
      <c r="K199" s="2" t="s">
        <v>266</v>
      </c>
      <c r="L199" t="s">
        <v>66</v>
      </c>
      <c r="M199" t="s">
        <v>43</v>
      </c>
      <c r="N199" t="s">
        <v>52</v>
      </c>
      <c r="O199">
        <v>5</v>
      </c>
      <c r="P199" t="s">
        <v>44</v>
      </c>
      <c r="Q199">
        <v>20</v>
      </c>
      <c r="R199" s="15">
        <v>232860</v>
      </c>
      <c r="S199" s="15">
        <v>702000</v>
      </c>
      <c r="T199" s="16">
        <v>4369140</v>
      </c>
      <c r="U199" t="str">
        <f t="shared" si="6"/>
        <v>no</v>
      </c>
      <c r="V199" t="str">
        <f t="shared" si="7"/>
        <v>budget</v>
      </c>
    </row>
    <row r="200" spans="1:22" x14ac:dyDescent="0.3">
      <c r="A200">
        <v>1199</v>
      </c>
      <c r="B200" t="s">
        <v>33</v>
      </c>
      <c r="C200" t="s">
        <v>34</v>
      </c>
      <c r="D200">
        <v>35</v>
      </c>
      <c r="E200" t="s">
        <v>35</v>
      </c>
      <c r="F200" t="s">
        <v>36</v>
      </c>
      <c r="G200" t="s">
        <v>63</v>
      </c>
      <c r="H200" t="s">
        <v>64</v>
      </c>
      <c r="I200" t="s">
        <v>48</v>
      </c>
      <c r="J200" t="s">
        <v>87</v>
      </c>
      <c r="K200" s="2" t="s">
        <v>267</v>
      </c>
      <c r="L200" t="s">
        <v>71</v>
      </c>
      <c r="M200" t="s">
        <v>94</v>
      </c>
      <c r="N200" t="s">
        <v>31</v>
      </c>
      <c r="O200">
        <v>2</v>
      </c>
      <c r="P200" t="s">
        <v>53</v>
      </c>
      <c r="Q200">
        <v>13</v>
      </c>
      <c r="R200" s="15">
        <v>100620</v>
      </c>
      <c r="S200" s="15">
        <v>1764000</v>
      </c>
      <c r="T200" s="16">
        <v>11463380</v>
      </c>
      <c r="U200" t="str">
        <f t="shared" si="6"/>
        <v>yes</v>
      </c>
      <c r="V200" t="str">
        <f t="shared" si="7"/>
        <v>premium</v>
      </c>
    </row>
    <row r="201" spans="1:22" x14ac:dyDescent="0.3">
      <c r="A201">
        <v>1200</v>
      </c>
      <c r="B201" t="s">
        <v>95</v>
      </c>
      <c r="C201" t="s">
        <v>21</v>
      </c>
      <c r="D201">
        <v>41</v>
      </c>
      <c r="E201" t="s">
        <v>68</v>
      </c>
      <c r="F201" t="s">
        <v>23</v>
      </c>
      <c r="G201" t="s">
        <v>74</v>
      </c>
      <c r="H201" t="s">
        <v>75</v>
      </c>
      <c r="I201" t="s">
        <v>48</v>
      </c>
      <c r="J201" t="s">
        <v>49</v>
      </c>
      <c r="K201" s="2" t="s">
        <v>268</v>
      </c>
      <c r="L201" t="s">
        <v>42</v>
      </c>
      <c r="M201" t="s">
        <v>43</v>
      </c>
      <c r="N201" t="s">
        <v>52</v>
      </c>
      <c r="O201">
        <v>4</v>
      </c>
      <c r="P201" t="s">
        <v>86</v>
      </c>
      <c r="Q201">
        <v>25</v>
      </c>
      <c r="R201" s="15">
        <v>205515</v>
      </c>
      <c r="S201" s="15">
        <v>846000</v>
      </c>
      <c r="T201" s="16">
        <v>5340485</v>
      </c>
      <c r="U201" t="str">
        <f t="shared" si="6"/>
        <v>no</v>
      </c>
      <c r="V201" t="str">
        <f t="shared" si="7"/>
        <v>standard</v>
      </c>
    </row>
    <row r="202" spans="1:22" x14ac:dyDescent="0.3">
      <c r="A202">
        <v>1201</v>
      </c>
      <c r="B202" t="s">
        <v>45</v>
      </c>
      <c r="C202" t="s">
        <v>21</v>
      </c>
      <c r="D202">
        <v>43</v>
      </c>
      <c r="E202" t="s">
        <v>112</v>
      </c>
      <c r="F202" t="s">
        <v>36</v>
      </c>
      <c r="G202" t="s">
        <v>69</v>
      </c>
      <c r="H202" t="s">
        <v>69</v>
      </c>
      <c r="I202" t="s">
        <v>48</v>
      </c>
      <c r="J202" t="s">
        <v>27</v>
      </c>
      <c r="K202" s="2" t="s">
        <v>269</v>
      </c>
      <c r="L202" t="s">
        <v>66</v>
      </c>
      <c r="M202" t="s">
        <v>94</v>
      </c>
      <c r="N202" t="s">
        <v>52</v>
      </c>
      <c r="O202">
        <v>2</v>
      </c>
      <c r="P202" t="s">
        <v>32</v>
      </c>
      <c r="Q202">
        <v>5</v>
      </c>
      <c r="R202" s="15">
        <v>88037</v>
      </c>
      <c r="S202" s="15">
        <v>936000</v>
      </c>
      <c r="T202" s="16">
        <v>6047963</v>
      </c>
      <c r="U202" t="str">
        <f t="shared" si="6"/>
        <v>no</v>
      </c>
      <c r="V202" t="str">
        <f t="shared" si="7"/>
        <v>standard</v>
      </c>
    </row>
    <row r="203" spans="1:22" x14ac:dyDescent="0.3">
      <c r="A203">
        <v>1202</v>
      </c>
      <c r="B203" t="s">
        <v>108</v>
      </c>
      <c r="C203" t="s">
        <v>21</v>
      </c>
      <c r="D203">
        <v>46</v>
      </c>
      <c r="E203" t="s">
        <v>61</v>
      </c>
      <c r="F203" t="s">
        <v>23</v>
      </c>
      <c r="G203" t="s">
        <v>37</v>
      </c>
      <c r="H203" t="s">
        <v>38</v>
      </c>
      <c r="I203" t="s">
        <v>97</v>
      </c>
      <c r="J203" t="s">
        <v>27</v>
      </c>
      <c r="K203" s="2" t="s">
        <v>270</v>
      </c>
      <c r="L203" t="s">
        <v>42</v>
      </c>
      <c r="M203" t="s">
        <v>94</v>
      </c>
      <c r="N203" t="s">
        <v>52</v>
      </c>
      <c r="O203">
        <v>4</v>
      </c>
      <c r="P203" t="s">
        <v>44</v>
      </c>
      <c r="Q203">
        <v>23</v>
      </c>
      <c r="R203" s="15">
        <v>214754</v>
      </c>
      <c r="S203" s="15">
        <v>2250000</v>
      </c>
      <c r="T203" s="16">
        <v>14535246</v>
      </c>
      <c r="U203" t="str">
        <f t="shared" si="6"/>
        <v>no</v>
      </c>
      <c r="V203" t="str">
        <f t="shared" si="7"/>
        <v>premium</v>
      </c>
    </row>
    <row r="204" spans="1:22" x14ac:dyDescent="0.3">
      <c r="A204">
        <v>1203</v>
      </c>
      <c r="B204" t="s">
        <v>72</v>
      </c>
      <c r="C204" t="s">
        <v>21</v>
      </c>
      <c r="D204">
        <v>46</v>
      </c>
      <c r="E204" t="s">
        <v>61</v>
      </c>
      <c r="F204" t="s">
        <v>62</v>
      </c>
      <c r="G204" t="s">
        <v>105</v>
      </c>
      <c r="H204" t="s">
        <v>106</v>
      </c>
      <c r="I204" t="s">
        <v>97</v>
      </c>
      <c r="J204" t="s">
        <v>27</v>
      </c>
      <c r="K204" s="2" t="s">
        <v>271</v>
      </c>
      <c r="L204" t="s">
        <v>71</v>
      </c>
      <c r="M204" t="s">
        <v>43</v>
      </c>
      <c r="N204" t="s">
        <v>31</v>
      </c>
      <c r="O204">
        <v>5</v>
      </c>
      <c r="P204" t="s">
        <v>32</v>
      </c>
      <c r="Q204">
        <v>7</v>
      </c>
      <c r="R204" s="15">
        <v>298686</v>
      </c>
      <c r="S204" s="15">
        <v>2250000</v>
      </c>
      <c r="T204" s="16">
        <v>14451314</v>
      </c>
      <c r="U204" t="str">
        <f t="shared" si="6"/>
        <v>no</v>
      </c>
      <c r="V204" t="str">
        <f t="shared" si="7"/>
        <v>premium</v>
      </c>
    </row>
    <row r="205" spans="1:22" x14ac:dyDescent="0.3">
      <c r="A205">
        <v>1204</v>
      </c>
      <c r="B205" t="s">
        <v>79</v>
      </c>
      <c r="C205" t="s">
        <v>21</v>
      </c>
      <c r="D205">
        <v>49</v>
      </c>
      <c r="E205" t="s">
        <v>82</v>
      </c>
      <c r="F205" t="s">
        <v>23</v>
      </c>
      <c r="G205" t="s">
        <v>74</v>
      </c>
      <c r="H205" t="s">
        <v>75</v>
      </c>
      <c r="I205" t="s">
        <v>48</v>
      </c>
      <c r="J205" t="s">
        <v>87</v>
      </c>
      <c r="K205" s="2" t="s">
        <v>272</v>
      </c>
      <c r="L205" t="s">
        <v>42</v>
      </c>
      <c r="M205" t="s">
        <v>30</v>
      </c>
      <c r="N205" t="s">
        <v>31</v>
      </c>
      <c r="O205">
        <v>4</v>
      </c>
      <c r="P205" t="s">
        <v>44</v>
      </c>
      <c r="Q205">
        <v>7</v>
      </c>
      <c r="R205" s="15">
        <v>197086</v>
      </c>
      <c r="S205" s="15">
        <v>1098000</v>
      </c>
      <c r="T205" s="16">
        <v>7000914</v>
      </c>
      <c r="U205" t="str">
        <f t="shared" si="6"/>
        <v>no</v>
      </c>
      <c r="V205" t="str">
        <f t="shared" si="7"/>
        <v>standard</v>
      </c>
    </row>
    <row r="206" spans="1:22" x14ac:dyDescent="0.3">
      <c r="A206">
        <v>1205</v>
      </c>
      <c r="B206" t="s">
        <v>104</v>
      </c>
      <c r="C206" t="s">
        <v>34</v>
      </c>
      <c r="D206">
        <v>45</v>
      </c>
      <c r="E206" t="s">
        <v>22</v>
      </c>
      <c r="F206" t="s">
        <v>62</v>
      </c>
      <c r="G206" t="s">
        <v>115</v>
      </c>
      <c r="H206" t="s">
        <v>106</v>
      </c>
      <c r="I206" t="s">
        <v>97</v>
      </c>
      <c r="J206" t="s">
        <v>49</v>
      </c>
      <c r="K206" s="2" t="s">
        <v>273</v>
      </c>
      <c r="L206" t="s">
        <v>71</v>
      </c>
      <c r="M206" t="s">
        <v>30</v>
      </c>
      <c r="N206" t="s">
        <v>31</v>
      </c>
      <c r="O206">
        <v>5</v>
      </c>
      <c r="P206" t="s">
        <v>53</v>
      </c>
      <c r="Q206">
        <v>8</v>
      </c>
      <c r="R206" s="15">
        <v>194041</v>
      </c>
      <c r="S206" s="15">
        <v>756000</v>
      </c>
      <c r="T206" s="16">
        <v>4761959</v>
      </c>
      <c r="U206" t="str">
        <f t="shared" si="6"/>
        <v>no</v>
      </c>
      <c r="V206" t="str">
        <f t="shared" si="7"/>
        <v>standard</v>
      </c>
    </row>
    <row r="207" spans="1:22" x14ac:dyDescent="0.3">
      <c r="A207">
        <v>1206</v>
      </c>
      <c r="B207" t="s">
        <v>108</v>
      </c>
      <c r="C207" t="s">
        <v>34</v>
      </c>
      <c r="D207">
        <v>37</v>
      </c>
      <c r="E207" t="s">
        <v>73</v>
      </c>
      <c r="F207" t="s">
        <v>23</v>
      </c>
      <c r="G207" t="s">
        <v>115</v>
      </c>
      <c r="H207" t="s">
        <v>106</v>
      </c>
      <c r="I207" t="s">
        <v>48</v>
      </c>
      <c r="J207" t="s">
        <v>49</v>
      </c>
      <c r="K207" s="2" t="s">
        <v>274</v>
      </c>
      <c r="L207" t="s">
        <v>59</v>
      </c>
      <c r="M207" t="s">
        <v>30</v>
      </c>
      <c r="N207" t="s">
        <v>52</v>
      </c>
      <c r="O207">
        <v>3</v>
      </c>
      <c r="P207" t="s">
        <v>86</v>
      </c>
      <c r="Q207">
        <v>22</v>
      </c>
      <c r="R207" s="15">
        <v>131019</v>
      </c>
      <c r="S207" s="15">
        <v>1224000</v>
      </c>
      <c r="T207" s="16">
        <v>7892981</v>
      </c>
      <c r="U207" t="str">
        <f t="shared" si="6"/>
        <v>no</v>
      </c>
      <c r="V207" t="str">
        <f t="shared" si="7"/>
        <v>standard</v>
      </c>
    </row>
    <row r="208" spans="1:22" x14ac:dyDescent="0.3">
      <c r="A208">
        <v>1207</v>
      </c>
      <c r="B208" t="s">
        <v>79</v>
      </c>
      <c r="C208" t="s">
        <v>34</v>
      </c>
      <c r="D208">
        <v>31</v>
      </c>
      <c r="E208" t="s">
        <v>82</v>
      </c>
      <c r="F208" t="s">
        <v>36</v>
      </c>
      <c r="G208" t="s">
        <v>69</v>
      </c>
      <c r="H208" t="s">
        <v>69</v>
      </c>
      <c r="I208" t="s">
        <v>26</v>
      </c>
      <c r="J208" t="s">
        <v>87</v>
      </c>
      <c r="K208" s="2" t="s">
        <v>275</v>
      </c>
      <c r="L208" t="s">
        <v>71</v>
      </c>
      <c r="M208" t="s">
        <v>51</v>
      </c>
      <c r="N208" t="s">
        <v>52</v>
      </c>
      <c r="O208">
        <v>2</v>
      </c>
      <c r="P208" t="s">
        <v>53</v>
      </c>
      <c r="Q208">
        <v>22</v>
      </c>
      <c r="R208" s="15">
        <v>147549</v>
      </c>
      <c r="S208" s="15">
        <v>1098000</v>
      </c>
      <c r="T208" s="16">
        <v>7050451</v>
      </c>
      <c r="U208" t="str">
        <f t="shared" si="6"/>
        <v>no</v>
      </c>
      <c r="V208" t="str">
        <f t="shared" si="7"/>
        <v>standard</v>
      </c>
    </row>
    <row r="209" spans="1:22" x14ac:dyDescent="0.3">
      <c r="A209">
        <v>1208</v>
      </c>
      <c r="B209" t="s">
        <v>95</v>
      </c>
      <c r="C209" t="s">
        <v>34</v>
      </c>
      <c r="D209">
        <v>27</v>
      </c>
      <c r="E209" t="s">
        <v>82</v>
      </c>
      <c r="F209" t="s">
        <v>23</v>
      </c>
      <c r="G209" t="s">
        <v>69</v>
      </c>
      <c r="H209" t="s">
        <v>69</v>
      </c>
      <c r="I209" t="s">
        <v>26</v>
      </c>
      <c r="J209" t="s">
        <v>49</v>
      </c>
      <c r="K209" s="2" t="s">
        <v>276</v>
      </c>
      <c r="L209" t="s">
        <v>42</v>
      </c>
      <c r="M209" t="s">
        <v>94</v>
      </c>
      <c r="N209" t="s">
        <v>31</v>
      </c>
      <c r="O209">
        <v>3</v>
      </c>
      <c r="P209" t="s">
        <v>32</v>
      </c>
      <c r="Q209">
        <v>10</v>
      </c>
      <c r="R209" s="15">
        <v>192862</v>
      </c>
      <c r="S209" s="15">
        <v>1098000</v>
      </c>
      <c r="T209" s="16">
        <v>7005138</v>
      </c>
      <c r="U209" t="str">
        <f t="shared" si="6"/>
        <v>no</v>
      </c>
      <c r="V209" t="str">
        <f t="shared" si="7"/>
        <v>standard</v>
      </c>
    </row>
    <row r="210" spans="1:22" x14ac:dyDescent="0.3">
      <c r="A210">
        <v>1209</v>
      </c>
      <c r="B210" t="s">
        <v>33</v>
      </c>
      <c r="C210" t="s">
        <v>34</v>
      </c>
      <c r="D210">
        <v>37</v>
      </c>
      <c r="E210" t="s">
        <v>112</v>
      </c>
      <c r="F210" t="s">
        <v>62</v>
      </c>
      <c r="G210" t="s">
        <v>56</v>
      </c>
      <c r="H210" t="s">
        <v>57</v>
      </c>
      <c r="I210" t="s">
        <v>76</v>
      </c>
      <c r="J210" t="s">
        <v>40</v>
      </c>
      <c r="K210" s="2" t="s">
        <v>277</v>
      </c>
      <c r="L210" t="s">
        <v>42</v>
      </c>
      <c r="M210" t="s">
        <v>30</v>
      </c>
      <c r="N210" t="s">
        <v>52</v>
      </c>
      <c r="O210">
        <v>4</v>
      </c>
      <c r="P210" t="s">
        <v>32</v>
      </c>
      <c r="Q210">
        <v>12</v>
      </c>
      <c r="R210" s="15">
        <v>129691</v>
      </c>
      <c r="S210" s="15">
        <v>936000</v>
      </c>
      <c r="T210" s="16">
        <v>6006309</v>
      </c>
      <c r="U210" t="str">
        <f t="shared" si="6"/>
        <v>no</v>
      </c>
      <c r="V210" t="str">
        <f t="shared" si="7"/>
        <v>standard</v>
      </c>
    </row>
    <row r="211" spans="1:22" x14ac:dyDescent="0.3">
      <c r="A211">
        <v>1210</v>
      </c>
      <c r="B211" t="s">
        <v>81</v>
      </c>
      <c r="C211" t="s">
        <v>21</v>
      </c>
      <c r="D211">
        <v>43</v>
      </c>
      <c r="E211" t="s">
        <v>46</v>
      </c>
      <c r="F211" t="s">
        <v>36</v>
      </c>
      <c r="G211" t="s">
        <v>91</v>
      </c>
      <c r="H211" t="s">
        <v>25</v>
      </c>
      <c r="I211" t="s">
        <v>76</v>
      </c>
      <c r="J211" t="s">
        <v>27</v>
      </c>
      <c r="K211" s="2" t="s">
        <v>278</v>
      </c>
      <c r="L211" t="s">
        <v>29</v>
      </c>
      <c r="M211" t="s">
        <v>43</v>
      </c>
      <c r="N211" t="s">
        <v>52</v>
      </c>
      <c r="O211">
        <v>5</v>
      </c>
      <c r="P211" t="s">
        <v>53</v>
      </c>
      <c r="Q211">
        <v>15</v>
      </c>
      <c r="R211" s="15">
        <v>99585</v>
      </c>
      <c r="S211" s="15">
        <v>5760000</v>
      </c>
      <c r="T211" s="16">
        <v>37660415</v>
      </c>
      <c r="U211" t="str">
        <f t="shared" si="6"/>
        <v>yes</v>
      </c>
      <c r="V211" t="str">
        <f t="shared" si="7"/>
        <v>ultra premium</v>
      </c>
    </row>
    <row r="212" spans="1:22" x14ac:dyDescent="0.3">
      <c r="A212">
        <v>1211</v>
      </c>
      <c r="B212" t="s">
        <v>114</v>
      </c>
      <c r="C212" t="s">
        <v>21</v>
      </c>
      <c r="D212">
        <v>28</v>
      </c>
      <c r="E212" t="s">
        <v>35</v>
      </c>
      <c r="F212" t="s">
        <v>55</v>
      </c>
      <c r="G212" t="s">
        <v>91</v>
      </c>
      <c r="H212" t="s">
        <v>25</v>
      </c>
      <c r="I212" t="s">
        <v>76</v>
      </c>
      <c r="J212" t="s">
        <v>49</v>
      </c>
      <c r="K212" s="2" t="s">
        <v>220</v>
      </c>
      <c r="L212" t="s">
        <v>42</v>
      </c>
      <c r="M212" t="s">
        <v>78</v>
      </c>
      <c r="N212" t="s">
        <v>31</v>
      </c>
      <c r="O212">
        <v>5</v>
      </c>
      <c r="P212" t="s">
        <v>44</v>
      </c>
      <c r="Q212">
        <v>18</v>
      </c>
      <c r="R212" s="15">
        <v>135963</v>
      </c>
      <c r="S212" s="15">
        <v>1764000</v>
      </c>
      <c r="T212" s="16">
        <v>11428037</v>
      </c>
      <c r="U212" t="str">
        <f t="shared" si="6"/>
        <v>yes</v>
      </c>
      <c r="V212" t="str">
        <f t="shared" si="7"/>
        <v>premium</v>
      </c>
    </row>
    <row r="213" spans="1:22" x14ac:dyDescent="0.3">
      <c r="A213">
        <v>1212</v>
      </c>
      <c r="B213" t="s">
        <v>95</v>
      </c>
      <c r="C213" t="s">
        <v>34</v>
      </c>
      <c r="D213">
        <v>51</v>
      </c>
      <c r="E213" t="s">
        <v>46</v>
      </c>
      <c r="F213" t="s">
        <v>36</v>
      </c>
      <c r="G213" t="s">
        <v>24</v>
      </c>
      <c r="H213" t="s">
        <v>25</v>
      </c>
      <c r="I213" t="s">
        <v>97</v>
      </c>
      <c r="J213" t="s">
        <v>49</v>
      </c>
      <c r="K213" s="2" t="s">
        <v>173</v>
      </c>
      <c r="L213" t="s">
        <v>66</v>
      </c>
      <c r="M213" t="s">
        <v>30</v>
      </c>
      <c r="N213" t="s">
        <v>52</v>
      </c>
      <c r="O213">
        <v>3</v>
      </c>
      <c r="P213" t="s">
        <v>53</v>
      </c>
      <c r="Q213">
        <v>8</v>
      </c>
      <c r="R213" s="15">
        <v>281999</v>
      </c>
      <c r="S213" s="15">
        <v>5760000</v>
      </c>
      <c r="T213" s="16">
        <v>37478001</v>
      </c>
      <c r="U213" t="str">
        <f t="shared" si="6"/>
        <v>yes</v>
      </c>
      <c r="V213" t="str">
        <f t="shared" si="7"/>
        <v>ultra premium</v>
      </c>
    </row>
    <row r="214" spans="1:22" x14ac:dyDescent="0.3">
      <c r="A214">
        <v>1213</v>
      </c>
      <c r="B214" t="s">
        <v>104</v>
      </c>
      <c r="C214" t="s">
        <v>21</v>
      </c>
      <c r="D214">
        <v>54</v>
      </c>
      <c r="E214" t="s">
        <v>112</v>
      </c>
      <c r="F214" t="s">
        <v>23</v>
      </c>
      <c r="G214" t="s">
        <v>69</v>
      </c>
      <c r="H214" t="s">
        <v>69</v>
      </c>
      <c r="I214" t="s">
        <v>26</v>
      </c>
      <c r="J214" t="s">
        <v>27</v>
      </c>
      <c r="K214" s="2" t="s">
        <v>279</v>
      </c>
      <c r="L214" t="s">
        <v>42</v>
      </c>
      <c r="M214" t="s">
        <v>51</v>
      </c>
      <c r="N214" t="s">
        <v>52</v>
      </c>
      <c r="O214">
        <v>4</v>
      </c>
      <c r="P214" t="s">
        <v>44</v>
      </c>
      <c r="Q214">
        <v>12</v>
      </c>
      <c r="R214" s="15">
        <v>164858</v>
      </c>
      <c r="S214" s="15">
        <v>936000</v>
      </c>
      <c r="T214" s="16">
        <v>5971142</v>
      </c>
      <c r="U214" t="str">
        <f t="shared" si="6"/>
        <v>no</v>
      </c>
      <c r="V214" t="str">
        <f t="shared" si="7"/>
        <v>standard</v>
      </c>
    </row>
    <row r="215" spans="1:22" x14ac:dyDescent="0.3">
      <c r="A215">
        <v>1214</v>
      </c>
      <c r="B215" t="s">
        <v>101</v>
      </c>
      <c r="C215" t="s">
        <v>34</v>
      </c>
      <c r="D215">
        <v>33</v>
      </c>
      <c r="E215" t="s">
        <v>22</v>
      </c>
      <c r="F215" t="s">
        <v>62</v>
      </c>
      <c r="G215" t="s">
        <v>24</v>
      </c>
      <c r="H215" t="s">
        <v>25</v>
      </c>
      <c r="I215" t="s">
        <v>48</v>
      </c>
      <c r="J215" t="s">
        <v>49</v>
      </c>
      <c r="K215" s="2" t="s">
        <v>280</v>
      </c>
      <c r="L215" t="s">
        <v>42</v>
      </c>
      <c r="M215" t="s">
        <v>51</v>
      </c>
      <c r="N215" t="s">
        <v>31</v>
      </c>
      <c r="O215">
        <v>5</v>
      </c>
      <c r="P215" t="s">
        <v>86</v>
      </c>
      <c r="Q215">
        <v>8</v>
      </c>
      <c r="R215" s="15">
        <v>270400</v>
      </c>
      <c r="S215" s="15">
        <v>756000</v>
      </c>
      <c r="T215" s="16">
        <v>4685600</v>
      </c>
      <c r="U215" t="str">
        <f t="shared" si="6"/>
        <v>no</v>
      </c>
      <c r="V215" t="str">
        <f t="shared" si="7"/>
        <v>standard</v>
      </c>
    </row>
    <row r="216" spans="1:22" x14ac:dyDescent="0.3">
      <c r="A216">
        <v>1215</v>
      </c>
      <c r="B216" t="s">
        <v>54</v>
      </c>
      <c r="C216" t="s">
        <v>21</v>
      </c>
      <c r="D216">
        <v>33</v>
      </c>
      <c r="E216" t="s">
        <v>35</v>
      </c>
      <c r="F216" t="s">
        <v>36</v>
      </c>
      <c r="G216" t="s">
        <v>69</v>
      </c>
      <c r="H216" t="s">
        <v>69</v>
      </c>
      <c r="I216" t="s">
        <v>39</v>
      </c>
      <c r="J216" t="s">
        <v>87</v>
      </c>
      <c r="K216" s="2" t="s">
        <v>281</v>
      </c>
      <c r="L216" t="s">
        <v>59</v>
      </c>
      <c r="M216" t="s">
        <v>94</v>
      </c>
      <c r="N216" t="s">
        <v>31</v>
      </c>
      <c r="O216">
        <v>5</v>
      </c>
      <c r="P216" t="s">
        <v>86</v>
      </c>
      <c r="Q216">
        <v>9</v>
      </c>
      <c r="R216" s="15">
        <v>99105</v>
      </c>
      <c r="S216" s="15">
        <v>1764000</v>
      </c>
      <c r="T216" s="16">
        <v>11464895</v>
      </c>
      <c r="U216" t="str">
        <f t="shared" si="6"/>
        <v>yes</v>
      </c>
      <c r="V216" t="str">
        <f t="shared" si="7"/>
        <v>premium</v>
      </c>
    </row>
    <row r="217" spans="1:22" x14ac:dyDescent="0.3">
      <c r="A217">
        <v>1216</v>
      </c>
      <c r="B217" t="s">
        <v>104</v>
      </c>
      <c r="C217" t="s">
        <v>34</v>
      </c>
      <c r="D217">
        <v>47</v>
      </c>
      <c r="E217" t="s">
        <v>61</v>
      </c>
      <c r="F217" t="s">
        <v>23</v>
      </c>
      <c r="G217" t="s">
        <v>91</v>
      </c>
      <c r="H217" t="s">
        <v>25</v>
      </c>
      <c r="I217" t="s">
        <v>48</v>
      </c>
      <c r="J217" t="s">
        <v>27</v>
      </c>
      <c r="K217" s="2" t="s">
        <v>282</v>
      </c>
      <c r="L217" t="s">
        <v>29</v>
      </c>
      <c r="M217" t="s">
        <v>43</v>
      </c>
      <c r="N217" t="s">
        <v>31</v>
      </c>
      <c r="O217">
        <v>2</v>
      </c>
      <c r="P217" t="s">
        <v>86</v>
      </c>
      <c r="Q217">
        <v>12</v>
      </c>
      <c r="R217" s="15">
        <v>142943</v>
      </c>
      <c r="S217" s="15">
        <v>2250000</v>
      </c>
      <c r="T217" s="16">
        <v>14607057</v>
      </c>
      <c r="U217" t="str">
        <f t="shared" si="6"/>
        <v>no</v>
      </c>
      <c r="V217" t="str">
        <f t="shared" si="7"/>
        <v>premium</v>
      </c>
    </row>
    <row r="218" spans="1:22" x14ac:dyDescent="0.3">
      <c r="A218">
        <v>1217</v>
      </c>
      <c r="B218" t="s">
        <v>108</v>
      </c>
      <c r="C218" t="s">
        <v>21</v>
      </c>
      <c r="D218">
        <v>53</v>
      </c>
      <c r="E218" t="s">
        <v>82</v>
      </c>
      <c r="F218" t="s">
        <v>36</v>
      </c>
      <c r="G218" t="s">
        <v>24</v>
      </c>
      <c r="H218" t="s">
        <v>25</v>
      </c>
      <c r="I218" t="s">
        <v>39</v>
      </c>
      <c r="J218" t="s">
        <v>40</v>
      </c>
      <c r="K218" s="2" t="s">
        <v>146</v>
      </c>
      <c r="L218" t="s">
        <v>29</v>
      </c>
      <c r="M218" t="s">
        <v>43</v>
      </c>
      <c r="N218" t="s">
        <v>52</v>
      </c>
      <c r="O218">
        <v>5</v>
      </c>
      <c r="P218" t="s">
        <v>53</v>
      </c>
      <c r="Q218">
        <v>16</v>
      </c>
      <c r="R218" s="15">
        <v>174526</v>
      </c>
      <c r="S218" s="15">
        <v>1098000</v>
      </c>
      <c r="T218" s="16">
        <v>7023474</v>
      </c>
      <c r="U218" t="str">
        <f t="shared" si="6"/>
        <v>no</v>
      </c>
      <c r="V218" t="str">
        <f t="shared" si="7"/>
        <v>standard</v>
      </c>
    </row>
    <row r="219" spans="1:22" x14ac:dyDescent="0.3">
      <c r="A219">
        <v>1218</v>
      </c>
      <c r="B219" t="s">
        <v>45</v>
      </c>
      <c r="C219" t="s">
        <v>21</v>
      </c>
      <c r="D219">
        <v>42</v>
      </c>
      <c r="E219" t="s">
        <v>46</v>
      </c>
      <c r="F219" t="s">
        <v>36</v>
      </c>
      <c r="G219" t="s">
        <v>63</v>
      </c>
      <c r="H219" t="s">
        <v>64</v>
      </c>
      <c r="I219" t="s">
        <v>76</v>
      </c>
      <c r="J219" t="s">
        <v>49</v>
      </c>
      <c r="K219" s="2" t="s">
        <v>283</v>
      </c>
      <c r="L219" t="s">
        <v>66</v>
      </c>
      <c r="M219" t="s">
        <v>30</v>
      </c>
      <c r="N219" t="s">
        <v>52</v>
      </c>
      <c r="O219">
        <v>2</v>
      </c>
      <c r="P219" t="s">
        <v>53</v>
      </c>
      <c r="Q219">
        <v>12</v>
      </c>
      <c r="R219" s="15">
        <v>84230</v>
      </c>
      <c r="S219" s="15">
        <v>5760000</v>
      </c>
      <c r="T219" s="16">
        <v>37675770</v>
      </c>
      <c r="U219" t="str">
        <f t="shared" si="6"/>
        <v>yes</v>
      </c>
      <c r="V219" t="str">
        <f t="shared" si="7"/>
        <v>ultra premium</v>
      </c>
    </row>
    <row r="220" spans="1:22" x14ac:dyDescent="0.3">
      <c r="A220">
        <v>1219</v>
      </c>
      <c r="B220" t="s">
        <v>79</v>
      </c>
      <c r="C220" t="s">
        <v>21</v>
      </c>
      <c r="D220">
        <v>39</v>
      </c>
      <c r="E220" t="s">
        <v>22</v>
      </c>
      <c r="F220" t="s">
        <v>36</v>
      </c>
      <c r="G220" t="s">
        <v>69</v>
      </c>
      <c r="H220" t="s">
        <v>69</v>
      </c>
      <c r="I220" t="s">
        <v>39</v>
      </c>
      <c r="J220" t="s">
        <v>27</v>
      </c>
      <c r="K220" s="2" t="s">
        <v>284</v>
      </c>
      <c r="L220" t="s">
        <v>66</v>
      </c>
      <c r="M220" t="s">
        <v>51</v>
      </c>
      <c r="N220" t="s">
        <v>31</v>
      </c>
      <c r="O220">
        <v>2</v>
      </c>
      <c r="P220" t="s">
        <v>44</v>
      </c>
      <c r="Q220">
        <v>13</v>
      </c>
      <c r="R220" s="15">
        <v>157623</v>
      </c>
      <c r="S220" s="15">
        <v>756000</v>
      </c>
      <c r="T220" s="16">
        <v>4798377</v>
      </c>
      <c r="U220" t="str">
        <f t="shared" si="6"/>
        <v>no</v>
      </c>
      <c r="V220" t="str">
        <f t="shared" si="7"/>
        <v>standard</v>
      </c>
    </row>
    <row r="221" spans="1:22" x14ac:dyDescent="0.3">
      <c r="A221">
        <v>1220</v>
      </c>
      <c r="B221" t="s">
        <v>101</v>
      </c>
      <c r="C221" t="s">
        <v>34</v>
      </c>
      <c r="D221">
        <v>36</v>
      </c>
      <c r="E221" t="s">
        <v>112</v>
      </c>
      <c r="F221" t="s">
        <v>62</v>
      </c>
      <c r="G221" t="s">
        <v>47</v>
      </c>
      <c r="H221" t="s">
        <v>25</v>
      </c>
      <c r="I221" t="s">
        <v>97</v>
      </c>
      <c r="J221" t="s">
        <v>49</v>
      </c>
      <c r="K221" s="2" t="s">
        <v>285</v>
      </c>
      <c r="L221" t="s">
        <v>71</v>
      </c>
      <c r="M221" t="s">
        <v>30</v>
      </c>
      <c r="N221" t="s">
        <v>52</v>
      </c>
      <c r="O221">
        <v>3</v>
      </c>
      <c r="P221" t="s">
        <v>32</v>
      </c>
      <c r="Q221">
        <v>25</v>
      </c>
      <c r="R221" s="15">
        <v>79593</v>
      </c>
      <c r="S221" s="15">
        <v>936000</v>
      </c>
      <c r="T221" s="16">
        <v>6056407</v>
      </c>
      <c r="U221" t="str">
        <f t="shared" si="6"/>
        <v>no</v>
      </c>
      <c r="V221" t="str">
        <f t="shared" si="7"/>
        <v>standard</v>
      </c>
    </row>
    <row r="222" spans="1:22" x14ac:dyDescent="0.3">
      <c r="A222">
        <v>1221</v>
      </c>
      <c r="B222" t="s">
        <v>81</v>
      </c>
      <c r="C222" t="s">
        <v>21</v>
      </c>
      <c r="D222">
        <v>41</v>
      </c>
      <c r="E222" t="s">
        <v>73</v>
      </c>
      <c r="F222" t="s">
        <v>36</v>
      </c>
      <c r="G222" t="s">
        <v>74</v>
      </c>
      <c r="H222" t="s">
        <v>75</v>
      </c>
      <c r="I222" t="s">
        <v>76</v>
      </c>
      <c r="J222" t="s">
        <v>49</v>
      </c>
      <c r="K222" s="2" t="s">
        <v>286</v>
      </c>
      <c r="L222" t="s">
        <v>29</v>
      </c>
      <c r="M222" t="s">
        <v>94</v>
      </c>
      <c r="N222" t="s">
        <v>52</v>
      </c>
      <c r="O222">
        <v>5</v>
      </c>
      <c r="P222" t="s">
        <v>86</v>
      </c>
      <c r="Q222">
        <v>21</v>
      </c>
      <c r="R222" s="15">
        <v>165178</v>
      </c>
      <c r="S222" s="15">
        <v>1224000</v>
      </c>
      <c r="T222" s="16">
        <v>7858822</v>
      </c>
      <c r="U222" t="str">
        <f t="shared" si="6"/>
        <v>no</v>
      </c>
      <c r="V222" t="str">
        <f t="shared" si="7"/>
        <v>standard</v>
      </c>
    </row>
    <row r="223" spans="1:22" x14ac:dyDescent="0.3">
      <c r="A223">
        <v>1222</v>
      </c>
      <c r="B223" t="s">
        <v>20</v>
      </c>
      <c r="C223" t="s">
        <v>21</v>
      </c>
      <c r="D223">
        <v>41</v>
      </c>
      <c r="E223" t="s">
        <v>61</v>
      </c>
      <c r="F223" t="s">
        <v>55</v>
      </c>
      <c r="G223" t="s">
        <v>63</v>
      </c>
      <c r="H223" t="s">
        <v>64</v>
      </c>
      <c r="I223" t="s">
        <v>97</v>
      </c>
      <c r="J223" t="s">
        <v>49</v>
      </c>
      <c r="K223" s="2" t="s">
        <v>192</v>
      </c>
      <c r="L223" t="s">
        <v>42</v>
      </c>
      <c r="M223" t="s">
        <v>78</v>
      </c>
      <c r="N223" t="s">
        <v>52</v>
      </c>
      <c r="O223">
        <v>5</v>
      </c>
      <c r="P223" t="s">
        <v>32</v>
      </c>
      <c r="Q223">
        <v>11</v>
      </c>
      <c r="R223" s="15">
        <v>151502</v>
      </c>
      <c r="S223" s="15">
        <v>2250000</v>
      </c>
      <c r="T223" s="16">
        <v>14598498</v>
      </c>
      <c r="U223" t="str">
        <f t="shared" si="6"/>
        <v>no</v>
      </c>
      <c r="V223" t="str">
        <f t="shared" si="7"/>
        <v>premium</v>
      </c>
    </row>
    <row r="224" spans="1:22" x14ac:dyDescent="0.3">
      <c r="A224">
        <v>1223</v>
      </c>
      <c r="B224" t="s">
        <v>67</v>
      </c>
      <c r="C224" t="s">
        <v>21</v>
      </c>
      <c r="D224">
        <v>32</v>
      </c>
      <c r="E224" t="s">
        <v>73</v>
      </c>
      <c r="F224" t="s">
        <v>23</v>
      </c>
      <c r="G224" t="s">
        <v>56</v>
      </c>
      <c r="H224" t="s">
        <v>57</v>
      </c>
      <c r="I224" t="s">
        <v>97</v>
      </c>
      <c r="J224" t="s">
        <v>27</v>
      </c>
      <c r="K224" s="2" t="s">
        <v>148</v>
      </c>
      <c r="L224" t="s">
        <v>71</v>
      </c>
      <c r="M224" t="s">
        <v>94</v>
      </c>
      <c r="N224" t="s">
        <v>52</v>
      </c>
      <c r="O224">
        <v>4</v>
      </c>
      <c r="P224" t="s">
        <v>44</v>
      </c>
      <c r="Q224">
        <v>24</v>
      </c>
      <c r="R224" s="15">
        <v>248487</v>
      </c>
      <c r="S224" s="15">
        <v>1224000</v>
      </c>
      <c r="T224" s="16">
        <v>7775513</v>
      </c>
      <c r="U224" t="str">
        <f t="shared" si="6"/>
        <v>no</v>
      </c>
      <c r="V224" t="str">
        <f t="shared" si="7"/>
        <v>standard</v>
      </c>
    </row>
    <row r="225" spans="1:22" x14ac:dyDescent="0.3">
      <c r="A225">
        <v>1224</v>
      </c>
      <c r="B225" t="s">
        <v>54</v>
      </c>
      <c r="C225" t="s">
        <v>34</v>
      </c>
      <c r="D225">
        <v>26</v>
      </c>
      <c r="E225" t="s">
        <v>22</v>
      </c>
      <c r="F225" t="s">
        <v>36</v>
      </c>
      <c r="G225" t="s">
        <v>115</v>
      </c>
      <c r="H225" t="s">
        <v>106</v>
      </c>
      <c r="I225" t="s">
        <v>48</v>
      </c>
      <c r="J225" t="s">
        <v>87</v>
      </c>
      <c r="K225" s="2" t="s">
        <v>287</v>
      </c>
      <c r="L225" t="s">
        <v>42</v>
      </c>
      <c r="M225" t="s">
        <v>30</v>
      </c>
      <c r="N225" t="s">
        <v>31</v>
      </c>
      <c r="O225">
        <v>2</v>
      </c>
      <c r="P225" t="s">
        <v>44</v>
      </c>
      <c r="Q225">
        <v>9</v>
      </c>
      <c r="R225" s="15">
        <v>144904</v>
      </c>
      <c r="S225" s="15">
        <v>756000</v>
      </c>
      <c r="T225" s="16">
        <v>4811096</v>
      </c>
      <c r="U225" t="str">
        <f t="shared" si="6"/>
        <v>no</v>
      </c>
      <c r="V225" t="str">
        <f t="shared" si="7"/>
        <v>standard</v>
      </c>
    </row>
    <row r="226" spans="1:22" x14ac:dyDescent="0.3">
      <c r="A226">
        <v>1225</v>
      </c>
      <c r="B226" t="s">
        <v>99</v>
      </c>
      <c r="C226" t="s">
        <v>34</v>
      </c>
      <c r="D226">
        <v>44</v>
      </c>
      <c r="E226" t="s">
        <v>61</v>
      </c>
      <c r="F226" t="s">
        <v>62</v>
      </c>
      <c r="G226" t="s">
        <v>74</v>
      </c>
      <c r="H226" t="s">
        <v>75</v>
      </c>
      <c r="I226" t="s">
        <v>97</v>
      </c>
      <c r="J226" t="s">
        <v>87</v>
      </c>
      <c r="K226" s="2" t="s">
        <v>288</v>
      </c>
      <c r="L226" t="s">
        <v>59</v>
      </c>
      <c r="M226" t="s">
        <v>43</v>
      </c>
      <c r="N226" t="s">
        <v>52</v>
      </c>
      <c r="O226">
        <v>2</v>
      </c>
      <c r="P226" t="s">
        <v>32</v>
      </c>
      <c r="Q226">
        <v>9</v>
      </c>
      <c r="R226" s="15">
        <v>223451</v>
      </c>
      <c r="S226" s="15">
        <v>2250000</v>
      </c>
      <c r="T226" s="16">
        <v>14526549</v>
      </c>
      <c r="U226" t="str">
        <f t="shared" si="6"/>
        <v>no</v>
      </c>
      <c r="V226" t="str">
        <f t="shared" si="7"/>
        <v>premium</v>
      </c>
    </row>
    <row r="227" spans="1:22" x14ac:dyDescent="0.3">
      <c r="A227">
        <v>1226</v>
      </c>
      <c r="B227" t="s">
        <v>95</v>
      </c>
      <c r="C227" t="s">
        <v>34</v>
      </c>
      <c r="D227">
        <v>33</v>
      </c>
      <c r="E227" t="s">
        <v>68</v>
      </c>
      <c r="F227" t="s">
        <v>36</v>
      </c>
      <c r="G227" t="s">
        <v>37</v>
      </c>
      <c r="H227" t="s">
        <v>38</v>
      </c>
      <c r="I227" t="s">
        <v>26</v>
      </c>
      <c r="J227" t="s">
        <v>87</v>
      </c>
      <c r="K227" s="2" t="s">
        <v>211</v>
      </c>
      <c r="L227" t="s">
        <v>59</v>
      </c>
      <c r="M227" t="s">
        <v>43</v>
      </c>
      <c r="N227" t="s">
        <v>31</v>
      </c>
      <c r="O227">
        <v>3</v>
      </c>
      <c r="P227" t="s">
        <v>44</v>
      </c>
      <c r="Q227">
        <v>15</v>
      </c>
      <c r="R227" s="15">
        <v>129094</v>
      </c>
      <c r="S227" s="15">
        <v>846000</v>
      </c>
      <c r="T227" s="16">
        <v>5416906</v>
      </c>
      <c r="U227" t="str">
        <f t="shared" si="6"/>
        <v>no</v>
      </c>
      <c r="V227" t="str">
        <f t="shared" si="7"/>
        <v>standard</v>
      </c>
    </row>
    <row r="228" spans="1:22" x14ac:dyDescent="0.3">
      <c r="A228">
        <v>1227</v>
      </c>
      <c r="B228" t="s">
        <v>81</v>
      </c>
      <c r="C228" t="s">
        <v>34</v>
      </c>
      <c r="D228">
        <v>31</v>
      </c>
      <c r="E228" t="s">
        <v>118</v>
      </c>
      <c r="F228" t="s">
        <v>62</v>
      </c>
      <c r="G228" t="s">
        <v>63</v>
      </c>
      <c r="H228" t="s">
        <v>64</v>
      </c>
      <c r="I228" t="s">
        <v>76</v>
      </c>
      <c r="J228" t="s">
        <v>40</v>
      </c>
      <c r="K228" s="2" t="s">
        <v>289</v>
      </c>
      <c r="L228" t="s">
        <v>71</v>
      </c>
      <c r="M228" t="s">
        <v>78</v>
      </c>
      <c r="N228" t="s">
        <v>31</v>
      </c>
      <c r="O228">
        <v>3</v>
      </c>
      <c r="P228" t="s">
        <v>86</v>
      </c>
      <c r="Q228">
        <v>6</v>
      </c>
      <c r="R228" s="15">
        <v>160615</v>
      </c>
      <c r="S228" s="15">
        <v>1350000</v>
      </c>
      <c r="T228" s="16">
        <v>8689385</v>
      </c>
      <c r="U228" t="str">
        <f t="shared" si="6"/>
        <v>no</v>
      </c>
      <c r="V228" t="str">
        <f t="shared" si="7"/>
        <v>standard</v>
      </c>
    </row>
    <row r="229" spans="1:22" x14ac:dyDescent="0.3">
      <c r="A229">
        <v>1228</v>
      </c>
      <c r="B229" t="s">
        <v>99</v>
      </c>
      <c r="C229" t="s">
        <v>21</v>
      </c>
      <c r="D229">
        <v>32</v>
      </c>
      <c r="E229" t="s">
        <v>35</v>
      </c>
      <c r="F229" t="s">
        <v>36</v>
      </c>
      <c r="G229" t="s">
        <v>91</v>
      </c>
      <c r="H229" t="s">
        <v>25</v>
      </c>
      <c r="I229" t="s">
        <v>48</v>
      </c>
      <c r="J229" t="s">
        <v>87</v>
      </c>
      <c r="K229" s="2" t="s">
        <v>290</v>
      </c>
      <c r="L229" t="s">
        <v>71</v>
      </c>
      <c r="M229" t="s">
        <v>51</v>
      </c>
      <c r="N229" t="s">
        <v>52</v>
      </c>
      <c r="O229">
        <v>4</v>
      </c>
      <c r="P229" t="s">
        <v>53</v>
      </c>
      <c r="Q229">
        <v>24</v>
      </c>
      <c r="R229" s="15">
        <v>251720</v>
      </c>
      <c r="S229" s="15">
        <v>1764000</v>
      </c>
      <c r="T229" s="16">
        <v>11312280</v>
      </c>
      <c r="U229" t="str">
        <f t="shared" si="6"/>
        <v>yes</v>
      </c>
      <c r="V229" t="str">
        <f t="shared" si="7"/>
        <v>premium</v>
      </c>
    </row>
    <row r="230" spans="1:22" x14ac:dyDescent="0.3">
      <c r="A230">
        <v>1229</v>
      </c>
      <c r="B230" t="s">
        <v>99</v>
      </c>
      <c r="C230" t="s">
        <v>21</v>
      </c>
      <c r="D230">
        <v>28</v>
      </c>
      <c r="E230" t="s">
        <v>112</v>
      </c>
      <c r="F230" t="s">
        <v>62</v>
      </c>
      <c r="G230" t="s">
        <v>69</v>
      </c>
      <c r="H230" t="s">
        <v>69</v>
      </c>
      <c r="I230" t="s">
        <v>39</v>
      </c>
      <c r="J230" t="s">
        <v>27</v>
      </c>
      <c r="K230" s="2" t="s">
        <v>291</v>
      </c>
      <c r="L230" t="s">
        <v>42</v>
      </c>
      <c r="M230" t="s">
        <v>94</v>
      </c>
      <c r="N230" t="s">
        <v>52</v>
      </c>
      <c r="O230">
        <v>3</v>
      </c>
      <c r="P230" t="s">
        <v>32</v>
      </c>
      <c r="Q230">
        <v>8</v>
      </c>
      <c r="R230" s="15">
        <v>58192</v>
      </c>
      <c r="S230" s="15">
        <v>936000</v>
      </c>
      <c r="T230" s="16">
        <v>6077808</v>
      </c>
      <c r="U230" t="str">
        <f t="shared" si="6"/>
        <v>no</v>
      </c>
      <c r="V230" t="str">
        <f t="shared" si="7"/>
        <v>standard</v>
      </c>
    </row>
    <row r="231" spans="1:22" x14ac:dyDescent="0.3">
      <c r="A231">
        <v>1230</v>
      </c>
      <c r="B231" t="s">
        <v>81</v>
      </c>
      <c r="C231" t="s">
        <v>21</v>
      </c>
      <c r="D231">
        <v>39</v>
      </c>
      <c r="E231" t="s">
        <v>46</v>
      </c>
      <c r="F231" t="s">
        <v>36</v>
      </c>
      <c r="G231" t="s">
        <v>47</v>
      </c>
      <c r="H231" t="s">
        <v>25</v>
      </c>
      <c r="I231" t="s">
        <v>48</v>
      </c>
      <c r="J231" t="s">
        <v>27</v>
      </c>
      <c r="K231" s="2" t="s">
        <v>292</v>
      </c>
      <c r="L231" t="s">
        <v>29</v>
      </c>
      <c r="M231" t="s">
        <v>43</v>
      </c>
      <c r="N231" t="s">
        <v>52</v>
      </c>
      <c r="O231">
        <v>4</v>
      </c>
      <c r="P231" t="s">
        <v>86</v>
      </c>
      <c r="Q231">
        <v>21</v>
      </c>
      <c r="R231" s="15">
        <v>194308</v>
      </c>
      <c r="S231" s="15">
        <v>5760000</v>
      </c>
      <c r="T231" s="16">
        <v>37565692</v>
      </c>
      <c r="U231" t="str">
        <f t="shared" si="6"/>
        <v>yes</v>
      </c>
      <c r="V231" t="str">
        <f t="shared" si="7"/>
        <v>ultra premium</v>
      </c>
    </row>
    <row r="232" spans="1:22" x14ac:dyDescent="0.3">
      <c r="A232">
        <v>1231</v>
      </c>
      <c r="B232" t="s">
        <v>60</v>
      </c>
      <c r="C232" t="s">
        <v>34</v>
      </c>
      <c r="D232">
        <v>30</v>
      </c>
      <c r="E232" t="s">
        <v>22</v>
      </c>
      <c r="F232" t="s">
        <v>55</v>
      </c>
      <c r="G232" t="s">
        <v>56</v>
      </c>
      <c r="H232" t="s">
        <v>57</v>
      </c>
      <c r="I232" t="s">
        <v>97</v>
      </c>
      <c r="J232" t="s">
        <v>49</v>
      </c>
      <c r="K232" s="2" t="s">
        <v>217</v>
      </c>
      <c r="L232" t="s">
        <v>59</v>
      </c>
      <c r="M232" t="s">
        <v>94</v>
      </c>
      <c r="N232" t="s">
        <v>52</v>
      </c>
      <c r="O232">
        <v>4</v>
      </c>
      <c r="P232" t="s">
        <v>53</v>
      </c>
      <c r="Q232">
        <v>15</v>
      </c>
      <c r="R232" s="15">
        <v>161504</v>
      </c>
      <c r="S232" s="15">
        <v>756000</v>
      </c>
      <c r="T232" s="16">
        <v>4794496</v>
      </c>
      <c r="U232" t="str">
        <f t="shared" si="6"/>
        <v>no</v>
      </c>
      <c r="V232" t="str">
        <f t="shared" si="7"/>
        <v>standard</v>
      </c>
    </row>
    <row r="233" spans="1:22" x14ac:dyDescent="0.3">
      <c r="A233">
        <v>1232</v>
      </c>
      <c r="B233" t="s">
        <v>108</v>
      </c>
      <c r="C233" t="s">
        <v>21</v>
      </c>
      <c r="D233">
        <v>42</v>
      </c>
      <c r="E233" t="s">
        <v>22</v>
      </c>
      <c r="F233" t="s">
        <v>62</v>
      </c>
      <c r="G233" t="s">
        <v>69</v>
      </c>
      <c r="H233" t="s">
        <v>69</v>
      </c>
      <c r="I233" t="s">
        <v>26</v>
      </c>
      <c r="J233" t="s">
        <v>49</v>
      </c>
      <c r="K233" s="2" t="s">
        <v>293</v>
      </c>
      <c r="L233" t="s">
        <v>42</v>
      </c>
      <c r="M233" t="s">
        <v>94</v>
      </c>
      <c r="N233" t="s">
        <v>52</v>
      </c>
      <c r="O233">
        <v>5</v>
      </c>
      <c r="P233" t="s">
        <v>32</v>
      </c>
      <c r="Q233">
        <v>10</v>
      </c>
      <c r="R233" s="15">
        <v>89584</v>
      </c>
      <c r="S233" s="15">
        <v>756000</v>
      </c>
      <c r="T233" s="16">
        <v>4866416</v>
      </c>
      <c r="U233" t="str">
        <f t="shared" si="6"/>
        <v>no</v>
      </c>
      <c r="V233" t="str">
        <f t="shared" si="7"/>
        <v>standard</v>
      </c>
    </row>
    <row r="234" spans="1:22" x14ac:dyDescent="0.3">
      <c r="A234">
        <v>1233</v>
      </c>
      <c r="B234" t="s">
        <v>79</v>
      </c>
      <c r="C234" t="s">
        <v>21</v>
      </c>
      <c r="D234">
        <v>58</v>
      </c>
      <c r="E234" t="s">
        <v>90</v>
      </c>
      <c r="F234" t="s">
        <v>55</v>
      </c>
      <c r="G234" t="s">
        <v>69</v>
      </c>
      <c r="H234" t="s">
        <v>69</v>
      </c>
      <c r="I234" t="s">
        <v>76</v>
      </c>
      <c r="J234" t="s">
        <v>49</v>
      </c>
      <c r="K234" s="2" t="s">
        <v>294</v>
      </c>
      <c r="L234" t="s">
        <v>71</v>
      </c>
      <c r="M234" t="s">
        <v>78</v>
      </c>
      <c r="N234" t="s">
        <v>31</v>
      </c>
      <c r="O234">
        <v>4</v>
      </c>
      <c r="P234" t="s">
        <v>86</v>
      </c>
      <c r="Q234">
        <v>8</v>
      </c>
      <c r="R234" s="15">
        <v>206505</v>
      </c>
      <c r="S234" s="15">
        <v>702000</v>
      </c>
      <c r="T234" s="16">
        <v>4395495</v>
      </c>
      <c r="U234" t="str">
        <f t="shared" si="6"/>
        <v>no</v>
      </c>
      <c r="V234" t="str">
        <f t="shared" si="7"/>
        <v>budget</v>
      </c>
    </row>
    <row r="235" spans="1:22" x14ac:dyDescent="0.3">
      <c r="A235">
        <v>1234</v>
      </c>
      <c r="B235" t="s">
        <v>104</v>
      </c>
      <c r="C235" t="s">
        <v>21</v>
      </c>
      <c r="D235">
        <v>26</v>
      </c>
      <c r="E235" t="s">
        <v>82</v>
      </c>
      <c r="F235" t="s">
        <v>55</v>
      </c>
      <c r="G235" t="s">
        <v>74</v>
      </c>
      <c r="H235" t="s">
        <v>75</v>
      </c>
      <c r="I235" t="s">
        <v>39</v>
      </c>
      <c r="J235" t="s">
        <v>49</v>
      </c>
      <c r="K235" s="2" t="s">
        <v>98</v>
      </c>
      <c r="L235" t="s">
        <v>71</v>
      </c>
      <c r="M235" t="s">
        <v>51</v>
      </c>
      <c r="N235" t="s">
        <v>52</v>
      </c>
      <c r="O235">
        <v>5</v>
      </c>
      <c r="P235" t="s">
        <v>32</v>
      </c>
      <c r="Q235">
        <v>12</v>
      </c>
      <c r="R235" s="15">
        <v>81240</v>
      </c>
      <c r="S235" s="15">
        <v>1098000</v>
      </c>
      <c r="T235" s="16">
        <v>7116760</v>
      </c>
      <c r="U235" t="str">
        <f t="shared" si="6"/>
        <v>no</v>
      </c>
      <c r="V235" t="str">
        <f t="shared" si="7"/>
        <v>standard</v>
      </c>
    </row>
    <row r="236" spans="1:22" x14ac:dyDescent="0.3">
      <c r="A236">
        <v>1235</v>
      </c>
      <c r="B236" t="s">
        <v>104</v>
      </c>
      <c r="C236" t="s">
        <v>21</v>
      </c>
      <c r="D236">
        <v>45</v>
      </c>
      <c r="E236" t="s">
        <v>22</v>
      </c>
      <c r="F236" t="s">
        <v>62</v>
      </c>
      <c r="G236" t="s">
        <v>69</v>
      </c>
      <c r="H236" t="s">
        <v>69</v>
      </c>
      <c r="I236" t="s">
        <v>39</v>
      </c>
      <c r="J236" t="s">
        <v>49</v>
      </c>
      <c r="K236" s="2" t="s">
        <v>295</v>
      </c>
      <c r="L236" t="s">
        <v>59</v>
      </c>
      <c r="M236" t="s">
        <v>43</v>
      </c>
      <c r="N236" t="s">
        <v>52</v>
      </c>
      <c r="O236">
        <v>4</v>
      </c>
      <c r="P236" t="s">
        <v>32</v>
      </c>
      <c r="Q236">
        <v>13</v>
      </c>
      <c r="R236" s="15">
        <v>187907</v>
      </c>
      <c r="S236" s="15">
        <v>756000</v>
      </c>
      <c r="T236" s="16">
        <v>4768093</v>
      </c>
      <c r="U236" t="str">
        <f t="shared" si="6"/>
        <v>no</v>
      </c>
      <c r="V236" t="str">
        <f t="shared" si="7"/>
        <v>standard</v>
      </c>
    </row>
    <row r="237" spans="1:22" x14ac:dyDescent="0.3">
      <c r="A237">
        <v>1236</v>
      </c>
      <c r="B237" t="s">
        <v>108</v>
      </c>
      <c r="C237" t="s">
        <v>21</v>
      </c>
      <c r="D237">
        <v>41</v>
      </c>
      <c r="E237" t="s">
        <v>22</v>
      </c>
      <c r="F237" t="s">
        <v>55</v>
      </c>
      <c r="G237" t="s">
        <v>91</v>
      </c>
      <c r="H237" t="s">
        <v>25</v>
      </c>
      <c r="I237" t="s">
        <v>76</v>
      </c>
      <c r="J237" t="s">
        <v>27</v>
      </c>
      <c r="K237" s="2" t="s">
        <v>296</v>
      </c>
      <c r="L237" t="s">
        <v>59</v>
      </c>
      <c r="M237" t="s">
        <v>51</v>
      </c>
      <c r="N237" t="s">
        <v>52</v>
      </c>
      <c r="O237">
        <v>2</v>
      </c>
      <c r="P237" t="s">
        <v>86</v>
      </c>
      <c r="Q237">
        <v>14</v>
      </c>
      <c r="R237" s="15">
        <v>124795</v>
      </c>
      <c r="S237" s="15">
        <v>756000</v>
      </c>
      <c r="T237" s="16">
        <v>4831205</v>
      </c>
      <c r="U237" t="str">
        <f t="shared" si="6"/>
        <v>no</v>
      </c>
      <c r="V237" t="str">
        <f t="shared" si="7"/>
        <v>standard</v>
      </c>
    </row>
    <row r="238" spans="1:22" x14ac:dyDescent="0.3">
      <c r="A238">
        <v>1237</v>
      </c>
      <c r="B238" t="s">
        <v>54</v>
      </c>
      <c r="C238" t="s">
        <v>34</v>
      </c>
      <c r="D238">
        <v>29</v>
      </c>
      <c r="E238" t="s">
        <v>22</v>
      </c>
      <c r="F238" t="s">
        <v>23</v>
      </c>
      <c r="G238" t="s">
        <v>47</v>
      </c>
      <c r="H238" t="s">
        <v>25</v>
      </c>
      <c r="I238" t="s">
        <v>48</v>
      </c>
      <c r="J238" t="s">
        <v>27</v>
      </c>
      <c r="K238" s="2" t="s">
        <v>297</v>
      </c>
      <c r="L238" t="s">
        <v>42</v>
      </c>
      <c r="M238" t="s">
        <v>30</v>
      </c>
      <c r="N238" t="s">
        <v>52</v>
      </c>
      <c r="O238">
        <v>3</v>
      </c>
      <c r="P238" t="s">
        <v>53</v>
      </c>
      <c r="Q238">
        <v>25</v>
      </c>
      <c r="R238" s="15">
        <v>59978</v>
      </c>
      <c r="S238" s="15">
        <v>756000</v>
      </c>
      <c r="T238" s="16">
        <v>4896022</v>
      </c>
      <c r="U238" t="str">
        <f t="shared" si="6"/>
        <v>no</v>
      </c>
      <c r="V238" t="str">
        <f t="shared" si="7"/>
        <v>standard</v>
      </c>
    </row>
    <row r="239" spans="1:22" x14ac:dyDescent="0.3">
      <c r="A239">
        <v>1238</v>
      </c>
      <c r="B239" t="s">
        <v>45</v>
      </c>
      <c r="C239" t="s">
        <v>21</v>
      </c>
      <c r="D239">
        <v>43</v>
      </c>
      <c r="E239" t="s">
        <v>35</v>
      </c>
      <c r="F239" t="s">
        <v>55</v>
      </c>
      <c r="G239" t="s">
        <v>24</v>
      </c>
      <c r="H239" t="s">
        <v>25</v>
      </c>
      <c r="I239" t="s">
        <v>97</v>
      </c>
      <c r="J239" t="s">
        <v>87</v>
      </c>
      <c r="K239" s="2" t="s">
        <v>298</v>
      </c>
      <c r="L239" t="s">
        <v>66</v>
      </c>
      <c r="M239" t="s">
        <v>78</v>
      </c>
      <c r="N239" t="s">
        <v>52</v>
      </c>
      <c r="O239">
        <v>2</v>
      </c>
      <c r="P239" t="s">
        <v>32</v>
      </c>
      <c r="Q239">
        <v>14</v>
      </c>
      <c r="R239" s="15">
        <v>279201</v>
      </c>
      <c r="S239" s="15">
        <v>1764000</v>
      </c>
      <c r="T239" s="16">
        <v>11284799</v>
      </c>
      <c r="U239" t="str">
        <f t="shared" si="6"/>
        <v>yes</v>
      </c>
      <c r="V239" t="str">
        <f t="shared" si="7"/>
        <v>premium</v>
      </c>
    </row>
    <row r="240" spans="1:22" x14ac:dyDescent="0.3">
      <c r="A240">
        <v>1239</v>
      </c>
      <c r="B240" t="s">
        <v>104</v>
      </c>
      <c r="C240" t="s">
        <v>34</v>
      </c>
      <c r="D240">
        <v>41</v>
      </c>
      <c r="E240" t="s">
        <v>112</v>
      </c>
      <c r="F240" t="s">
        <v>36</v>
      </c>
      <c r="G240" t="s">
        <v>115</v>
      </c>
      <c r="H240" t="s">
        <v>106</v>
      </c>
      <c r="I240" t="s">
        <v>76</v>
      </c>
      <c r="J240" t="s">
        <v>87</v>
      </c>
      <c r="K240" s="2" t="s">
        <v>299</v>
      </c>
      <c r="L240" t="s">
        <v>71</v>
      </c>
      <c r="M240" t="s">
        <v>51</v>
      </c>
      <c r="N240" t="s">
        <v>31</v>
      </c>
      <c r="O240">
        <v>5</v>
      </c>
      <c r="P240" t="s">
        <v>32</v>
      </c>
      <c r="Q240">
        <v>12</v>
      </c>
      <c r="R240" s="15">
        <v>221699</v>
      </c>
      <c r="S240" s="15">
        <v>936000</v>
      </c>
      <c r="T240" s="16">
        <v>5914301</v>
      </c>
      <c r="U240" t="str">
        <f t="shared" si="6"/>
        <v>no</v>
      </c>
      <c r="V240" t="str">
        <f t="shared" si="7"/>
        <v>standard</v>
      </c>
    </row>
    <row r="241" spans="1:22" x14ac:dyDescent="0.3">
      <c r="A241">
        <v>1240</v>
      </c>
      <c r="B241" t="s">
        <v>20</v>
      </c>
      <c r="C241" t="s">
        <v>21</v>
      </c>
      <c r="D241">
        <v>47</v>
      </c>
      <c r="E241" t="s">
        <v>118</v>
      </c>
      <c r="F241" t="s">
        <v>55</v>
      </c>
      <c r="G241" t="s">
        <v>47</v>
      </c>
      <c r="H241" t="s">
        <v>25</v>
      </c>
      <c r="I241" t="s">
        <v>39</v>
      </c>
      <c r="J241" t="s">
        <v>87</v>
      </c>
      <c r="K241" s="2" t="s">
        <v>88</v>
      </c>
      <c r="L241" t="s">
        <v>42</v>
      </c>
      <c r="M241" t="s">
        <v>51</v>
      </c>
      <c r="N241" t="s">
        <v>31</v>
      </c>
      <c r="O241">
        <v>2</v>
      </c>
      <c r="P241" t="s">
        <v>86</v>
      </c>
      <c r="Q241">
        <v>19</v>
      </c>
      <c r="R241" s="15">
        <v>221274</v>
      </c>
      <c r="S241" s="15">
        <v>1350000</v>
      </c>
      <c r="T241" s="16">
        <v>8628726</v>
      </c>
      <c r="U241" t="str">
        <f t="shared" si="6"/>
        <v>no</v>
      </c>
      <c r="V241" t="str">
        <f t="shared" si="7"/>
        <v>standard</v>
      </c>
    </row>
    <row r="242" spans="1:22" x14ac:dyDescent="0.3">
      <c r="A242">
        <v>1241</v>
      </c>
      <c r="B242" t="s">
        <v>99</v>
      </c>
      <c r="C242" t="s">
        <v>21</v>
      </c>
      <c r="D242">
        <v>45</v>
      </c>
      <c r="E242" t="s">
        <v>82</v>
      </c>
      <c r="F242" t="s">
        <v>55</v>
      </c>
      <c r="G242" t="s">
        <v>69</v>
      </c>
      <c r="H242" t="s">
        <v>69</v>
      </c>
      <c r="I242" t="s">
        <v>26</v>
      </c>
      <c r="J242" t="s">
        <v>27</v>
      </c>
      <c r="K242" s="2" t="s">
        <v>300</v>
      </c>
      <c r="L242" t="s">
        <v>66</v>
      </c>
      <c r="M242" t="s">
        <v>30</v>
      </c>
      <c r="N242" t="s">
        <v>31</v>
      </c>
      <c r="O242">
        <v>4</v>
      </c>
      <c r="P242" t="s">
        <v>53</v>
      </c>
      <c r="Q242">
        <v>19</v>
      </c>
      <c r="R242" s="15">
        <v>289952</v>
      </c>
      <c r="S242" s="15">
        <v>1098000</v>
      </c>
      <c r="T242" s="16">
        <v>6908048</v>
      </c>
      <c r="U242" t="str">
        <f t="shared" si="6"/>
        <v>no</v>
      </c>
      <c r="V242" t="str">
        <f t="shared" si="7"/>
        <v>standard</v>
      </c>
    </row>
    <row r="243" spans="1:22" x14ac:dyDescent="0.3">
      <c r="A243">
        <v>1242</v>
      </c>
      <c r="B243" t="s">
        <v>79</v>
      </c>
      <c r="C243" t="s">
        <v>34</v>
      </c>
      <c r="D243">
        <v>26</v>
      </c>
      <c r="E243" t="s">
        <v>46</v>
      </c>
      <c r="F243" t="s">
        <v>36</v>
      </c>
      <c r="G243" t="s">
        <v>24</v>
      </c>
      <c r="H243" t="s">
        <v>25</v>
      </c>
      <c r="I243" t="s">
        <v>76</v>
      </c>
      <c r="J243" t="s">
        <v>49</v>
      </c>
      <c r="K243" s="2" t="s">
        <v>301</v>
      </c>
      <c r="L243" t="s">
        <v>71</v>
      </c>
      <c r="M243" t="s">
        <v>43</v>
      </c>
      <c r="N243" t="s">
        <v>31</v>
      </c>
      <c r="O243">
        <v>2</v>
      </c>
      <c r="P243" t="s">
        <v>86</v>
      </c>
      <c r="Q243">
        <v>9</v>
      </c>
      <c r="R243" s="15">
        <v>189750</v>
      </c>
      <c r="S243" s="15">
        <v>5760000</v>
      </c>
      <c r="T243" s="16">
        <v>37570250</v>
      </c>
      <c r="U243" t="str">
        <f t="shared" si="6"/>
        <v>yes</v>
      </c>
      <c r="V243" t="str">
        <f t="shared" si="7"/>
        <v>ultra premium</v>
      </c>
    </row>
    <row r="244" spans="1:22" x14ac:dyDescent="0.3">
      <c r="A244">
        <v>1243</v>
      </c>
      <c r="B244" t="s">
        <v>67</v>
      </c>
      <c r="C244" t="s">
        <v>21</v>
      </c>
      <c r="D244">
        <v>28</v>
      </c>
      <c r="E244" t="s">
        <v>61</v>
      </c>
      <c r="F244" t="s">
        <v>36</v>
      </c>
      <c r="G244" t="s">
        <v>56</v>
      </c>
      <c r="H244" t="s">
        <v>57</v>
      </c>
      <c r="I244" t="s">
        <v>39</v>
      </c>
      <c r="J244" t="s">
        <v>27</v>
      </c>
      <c r="K244" s="2" t="s">
        <v>302</v>
      </c>
      <c r="L244" t="s">
        <v>29</v>
      </c>
      <c r="M244" t="s">
        <v>78</v>
      </c>
      <c r="N244" t="s">
        <v>31</v>
      </c>
      <c r="O244">
        <v>3</v>
      </c>
      <c r="P244" t="s">
        <v>53</v>
      </c>
      <c r="Q244">
        <v>15</v>
      </c>
      <c r="R244" s="15">
        <v>166445</v>
      </c>
      <c r="S244" s="15">
        <v>2250000</v>
      </c>
      <c r="T244" s="16">
        <v>14583555</v>
      </c>
      <c r="U244" t="str">
        <f t="shared" si="6"/>
        <v>no</v>
      </c>
      <c r="V244" t="str">
        <f t="shared" si="7"/>
        <v>premium</v>
      </c>
    </row>
    <row r="245" spans="1:22" x14ac:dyDescent="0.3">
      <c r="A245">
        <v>1244</v>
      </c>
      <c r="B245" t="s">
        <v>33</v>
      </c>
      <c r="C245" t="s">
        <v>21</v>
      </c>
      <c r="D245">
        <v>56</v>
      </c>
      <c r="E245" t="s">
        <v>35</v>
      </c>
      <c r="F245" t="s">
        <v>62</v>
      </c>
      <c r="G245" t="s">
        <v>56</v>
      </c>
      <c r="H245" t="s">
        <v>57</v>
      </c>
      <c r="I245" t="s">
        <v>39</v>
      </c>
      <c r="J245" t="s">
        <v>87</v>
      </c>
      <c r="K245" s="2" t="s">
        <v>303</v>
      </c>
      <c r="L245" t="s">
        <v>42</v>
      </c>
      <c r="M245" t="s">
        <v>43</v>
      </c>
      <c r="N245" t="s">
        <v>31</v>
      </c>
      <c r="O245">
        <v>2</v>
      </c>
      <c r="P245" t="s">
        <v>32</v>
      </c>
      <c r="Q245">
        <v>13</v>
      </c>
      <c r="R245" s="15">
        <v>54755</v>
      </c>
      <c r="S245" s="15">
        <v>1764000</v>
      </c>
      <c r="T245" s="16">
        <v>11509245</v>
      </c>
      <c r="U245" t="str">
        <f t="shared" si="6"/>
        <v>yes</v>
      </c>
      <c r="V245" t="str">
        <f t="shared" si="7"/>
        <v>premium</v>
      </c>
    </row>
    <row r="246" spans="1:22" x14ac:dyDescent="0.3">
      <c r="A246">
        <v>1245</v>
      </c>
      <c r="B246" t="s">
        <v>114</v>
      </c>
      <c r="C246" t="s">
        <v>34</v>
      </c>
      <c r="D246">
        <v>55</v>
      </c>
      <c r="E246" t="s">
        <v>90</v>
      </c>
      <c r="F246" t="s">
        <v>62</v>
      </c>
      <c r="G246" t="s">
        <v>74</v>
      </c>
      <c r="H246" t="s">
        <v>75</v>
      </c>
      <c r="I246" t="s">
        <v>97</v>
      </c>
      <c r="J246" t="s">
        <v>87</v>
      </c>
      <c r="K246" s="2" t="s">
        <v>304</v>
      </c>
      <c r="L246" t="s">
        <v>29</v>
      </c>
      <c r="M246" t="s">
        <v>94</v>
      </c>
      <c r="N246" t="s">
        <v>31</v>
      </c>
      <c r="O246">
        <v>3</v>
      </c>
      <c r="P246" t="s">
        <v>32</v>
      </c>
      <c r="Q246">
        <v>25</v>
      </c>
      <c r="R246" s="15">
        <v>58872</v>
      </c>
      <c r="S246" s="15">
        <v>702000</v>
      </c>
      <c r="T246" s="16">
        <v>4543128</v>
      </c>
      <c r="U246" t="str">
        <f t="shared" si="6"/>
        <v>no</v>
      </c>
      <c r="V246" t="str">
        <f t="shared" si="7"/>
        <v>standard</v>
      </c>
    </row>
    <row r="247" spans="1:22" x14ac:dyDescent="0.3">
      <c r="A247">
        <v>1246</v>
      </c>
      <c r="B247" t="s">
        <v>20</v>
      </c>
      <c r="C247" t="s">
        <v>21</v>
      </c>
      <c r="D247">
        <v>54</v>
      </c>
      <c r="E247" t="s">
        <v>73</v>
      </c>
      <c r="F247" t="s">
        <v>62</v>
      </c>
      <c r="G247" t="s">
        <v>74</v>
      </c>
      <c r="H247" t="s">
        <v>75</v>
      </c>
      <c r="I247" t="s">
        <v>26</v>
      </c>
      <c r="J247" t="s">
        <v>87</v>
      </c>
      <c r="K247" s="2" t="s">
        <v>232</v>
      </c>
      <c r="L247" t="s">
        <v>29</v>
      </c>
      <c r="M247" t="s">
        <v>30</v>
      </c>
      <c r="N247" t="s">
        <v>31</v>
      </c>
      <c r="O247">
        <v>3</v>
      </c>
      <c r="P247" t="s">
        <v>32</v>
      </c>
      <c r="Q247">
        <v>25</v>
      </c>
      <c r="R247" s="15">
        <v>130225</v>
      </c>
      <c r="S247" s="15">
        <v>1224000</v>
      </c>
      <c r="T247" s="16">
        <v>7893775</v>
      </c>
      <c r="U247" t="str">
        <f t="shared" si="6"/>
        <v>no</v>
      </c>
      <c r="V247" t="str">
        <f t="shared" si="7"/>
        <v>standard</v>
      </c>
    </row>
    <row r="248" spans="1:22" x14ac:dyDescent="0.3">
      <c r="A248">
        <v>1247</v>
      </c>
      <c r="B248" t="s">
        <v>101</v>
      </c>
      <c r="C248" t="s">
        <v>34</v>
      </c>
      <c r="D248">
        <v>48</v>
      </c>
      <c r="E248" t="s">
        <v>112</v>
      </c>
      <c r="F248" t="s">
        <v>55</v>
      </c>
      <c r="G248" t="s">
        <v>69</v>
      </c>
      <c r="H248" t="s">
        <v>69</v>
      </c>
      <c r="I248" t="s">
        <v>48</v>
      </c>
      <c r="J248" t="s">
        <v>87</v>
      </c>
      <c r="K248" s="2" t="s">
        <v>83</v>
      </c>
      <c r="L248" t="s">
        <v>29</v>
      </c>
      <c r="M248" t="s">
        <v>78</v>
      </c>
      <c r="N248" t="s">
        <v>31</v>
      </c>
      <c r="O248">
        <v>5</v>
      </c>
      <c r="P248" t="s">
        <v>32</v>
      </c>
      <c r="Q248">
        <v>17</v>
      </c>
      <c r="R248" s="15">
        <v>170170</v>
      </c>
      <c r="S248" s="15">
        <v>936000</v>
      </c>
      <c r="T248" s="16">
        <v>5965830</v>
      </c>
      <c r="U248" t="str">
        <f t="shared" si="6"/>
        <v>no</v>
      </c>
      <c r="V248" t="str">
        <f t="shared" si="7"/>
        <v>standard</v>
      </c>
    </row>
    <row r="249" spans="1:22" x14ac:dyDescent="0.3">
      <c r="A249">
        <v>1248</v>
      </c>
      <c r="B249" t="s">
        <v>67</v>
      </c>
      <c r="C249" t="s">
        <v>34</v>
      </c>
      <c r="D249">
        <v>43</v>
      </c>
      <c r="E249" t="s">
        <v>35</v>
      </c>
      <c r="F249" t="s">
        <v>62</v>
      </c>
      <c r="G249" t="s">
        <v>47</v>
      </c>
      <c r="H249" t="s">
        <v>25</v>
      </c>
      <c r="I249" t="s">
        <v>26</v>
      </c>
      <c r="J249" t="s">
        <v>40</v>
      </c>
      <c r="K249" s="2" t="s">
        <v>305</v>
      </c>
      <c r="L249" t="s">
        <v>29</v>
      </c>
      <c r="M249" t="s">
        <v>30</v>
      </c>
      <c r="N249" t="s">
        <v>31</v>
      </c>
      <c r="O249">
        <v>5</v>
      </c>
      <c r="P249" t="s">
        <v>53</v>
      </c>
      <c r="Q249">
        <v>25</v>
      </c>
      <c r="R249" s="15">
        <v>120998</v>
      </c>
      <c r="S249" s="15">
        <v>1764000</v>
      </c>
      <c r="T249" s="16">
        <v>11443002</v>
      </c>
      <c r="U249" t="str">
        <f t="shared" si="6"/>
        <v>yes</v>
      </c>
      <c r="V249" t="str">
        <f t="shared" si="7"/>
        <v>premium</v>
      </c>
    </row>
    <row r="250" spans="1:22" x14ac:dyDescent="0.3">
      <c r="A250">
        <v>1249</v>
      </c>
      <c r="B250" t="s">
        <v>108</v>
      </c>
      <c r="C250" t="s">
        <v>21</v>
      </c>
      <c r="D250">
        <v>28</v>
      </c>
      <c r="E250" t="s">
        <v>46</v>
      </c>
      <c r="F250" t="s">
        <v>55</v>
      </c>
      <c r="G250" t="s">
        <v>115</v>
      </c>
      <c r="H250" t="s">
        <v>106</v>
      </c>
      <c r="I250" t="s">
        <v>39</v>
      </c>
      <c r="J250" t="s">
        <v>40</v>
      </c>
      <c r="K250" s="2" t="s">
        <v>306</v>
      </c>
      <c r="L250" t="s">
        <v>42</v>
      </c>
      <c r="M250" t="s">
        <v>43</v>
      </c>
      <c r="N250" t="s">
        <v>31</v>
      </c>
      <c r="O250">
        <v>5</v>
      </c>
      <c r="P250" t="s">
        <v>86</v>
      </c>
      <c r="Q250">
        <v>23</v>
      </c>
      <c r="R250" s="15">
        <v>294493</v>
      </c>
      <c r="S250" s="15">
        <v>5760000</v>
      </c>
      <c r="T250" s="16">
        <v>37465507</v>
      </c>
      <c r="U250" t="str">
        <f t="shared" si="6"/>
        <v>yes</v>
      </c>
      <c r="V250" t="str">
        <f t="shared" si="7"/>
        <v>ultra premium</v>
      </c>
    </row>
    <row r="251" spans="1:22" x14ac:dyDescent="0.3">
      <c r="A251">
        <v>1250</v>
      </c>
      <c r="B251" t="s">
        <v>114</v>
      </c>
      <c r="C251" t="s">
        <v>34</v>
      </c>
      <c r="D251">
        <v>48</v>
      </c>
      <c r="E251" t="s">
        <v>90</v>
      </c>
      <c r="F251" t="s">
        <v>55</v>
      </c>
      <c r="G251" t="s">
        <v>91</v>
      </c>
      <c r="H251" t="s">
        <v>25</v>
      </c>
      <c r="I251" t="s">
        <v>26</v>
      </c>
      <c r="J251" t="s">
        <v>40</v>
      </c>
      <c r="K251" s="2" t="s">
        <v>147</v>
      </c>
      <c r="L251" t="s">
        <v>29</v>
      </c>
      <c r="M251" t="s">
        <v>78</v>
      </c>
      <c r="N251" t="s">
        <v>31</v>
      </c>
      <c r="O251">
        <v>5</v>
      </c>
      <c r="P251" t="s">
        <v>53</v>
      </c>
      <c r="Q251">
        <v>17</v>
      </c>
      <c r="R251" s="15">
        <v>299905</v>
      </c>
      <c r="S251" s="15">
        <v>702000</v>
      </c>
      <c r="T251" s="16">
        <v>4302095</v>
      </c>
      <c r="U251" t="str">
        <f t="shared" si="6"/>
        <v>no</v>
      </c>
      <c r="V251" t="str">
        <f t="shared" si="7"/>
        <v>budget</v>
      </c>
    </row>
    <row r="252" spans="1:22" x14ac:dyDescent="0.3">
      <c r="A252">
        <v>1251</v>
      </c>
      <c r="B252" t="s">
        <v>45</v>
      </c>
      <c r="C252" t="s">
        <v>21</v>
      </c>
      <c r="D252">
        <v>47</v>
      </c>
      <c r="E252" t="s">
        <v>90</v>
      </c>
      <c r="F252" t="s">
        <v>36</v>
      </c>
      <c r="G252" t="s">
        <v>63</v>
      </c>
      <c r="H252" t="s">
        <v>64</v>
      </c>
      <c r="I252" t="s">
        <v>39</v>
      </c>
      <c r="J252" t="s">
        <v>27</v>
      </c>
      <c r="K252" s="2" t="s">
        <v>307</v>
      </c>
      <c r="L252" t="s">
        <v>66</v>
      </c>
      <c r="M252" t="s">
        <v>94</v>
      </c>
      <c r="N252" t="s">
        <v>31</v>
      </c>
      <c r="O252">
        <v>4</v>
      </c>
      <c r="P252" t="s">
        <v>32</v>
      </c>
      <c r="Q252">
        <v>24</v>
      </c>
      <c r="R252" s="15">
        <v>165571</v>
      </c>
      <c r="S252" s="15">
        <v>702000</v>
      </c>
      <c r="T252" s="16">
        <v>4436429</v>
      </c>
      <c r="U252" t="str">
        <f t="shared" si="6"/>
        <v>no</v>
      </c>
      <c r="V252" t="str">
        <f t="shared" si="7"/>
        <v>budget</v>
      </c>
    </row>
    <row r="253" spans="1:22" x14ac:dyDescent="0.3">
      <c r="A253">
        <v>1252</v>
      </c>
      <c r="B253" t="s">
        <v>95</v>
      </c>
      <c r="C253" t="s">
        <v>21</v>
      </c>
      <c r="D253">
        <v>39</v>
      </c>
      <c r="E253" t="s">
        <v>90</v>
      </c>
      <c r="F253" t="s">
        <v>62</v>
      </c>
      <c r="G253" t="s">
        <v>91</v>
      </c>
      <c r="H253" t="s">
        <v>25</v>
      </c>
      <c r="I253" t="s">
        <v>26</v>
      </c>
      <c r="J253" t="s">
        <v>27</v>
      </c>
      <c r="K253" s="2" t="s">
        <v>308</v>
      </c>
      <c r="L253" t="s">
        <v>59</v>
      </c>
      <c r="M253" t="s">
        <v>51</v>
      </c>
      <c r="N253" t="s">
        <v>52</v>
      </c>
      <c r="O253">
        <v>5</v>
      </c>
      <c r="P253" t="s">
        <v>32</v>
      </c>
      <c r="Q253">
        <v>8</v>
      </c>
      <c r="R253" s="15">
        <v>196038</v>
      </c>
      <c r="S253" s="15">
        <v>702000</v>
      </c>
      <c r="T253" s="16">
        <v>4405962</v>
      </c>
      <c r="U253" t="str">
        <f t="shared" si="6"/>
        <v>no</v>
      </c>
      <c r="V253" t="str">
        <f t="shared" si="7"/>
        <v>budget</v>
      </c>
    </row>
    <row r="254" spans="1:22" x14ac:dyDescent="0.3">
      <c r="A254">
        <v>1253</v>
      </c>
      <c r="B254" t="s">
        <v>99</v>
      </c>
      <c r="C254" t="s">
        <v>21</v>
      </c>
      <c r="D254">
        <v>56</v>
      </c>
      <c r="E254" t="s">
        <v>46</v>
      </c>
      <c r="F254" t="s">
        <v>62</v>
      </c>
      <c r="G254" t="s">
        <v>69</v>
      </c>
      <c r="H254" t="s">
        <v>69</v>
      </c>
      <c r="I254" t="s">
        <v>39</v>
      </c>
      <c r="J254" t="s">
        <v>27</v>
      </c>
      <c r="K254" s="2" t="s">
        <v>309</v>
      </c>
      <c r="L254" t="s">
        <v>66</v>
      </c>
      <c r="M254" t="s">
        <v>43</v>
      </c>
      <c r="N254" t="s">
        <v>31</v>
      </c>
      <c r="O254">
        <v>3</v>
      </c>
      <c r="P254" t="s">
        <v>32</v>
      </c>
      <c r="Q254">
        <v>18</v>
      </c>
      <c r="R254" s="15">
        <v>76093</v>
      </c>
      <c r="S254" s="15">
        <v>5760000</v>
      </c>
      <c r="T254" s="16">
        <v>37683907</v>
      </c>
      <c r="U254" t="str">
        <f t="shared" si="6"/>
        <v>yes</v>
      </c>
      <c r="V254" t="str">
        <f t="shared" si="7"/>
        <v>ultra premium</v>
      </c>
    </row>
    <row r="255" spans="1:22" x14ac:dyDescent="0.3">
      <c r="A255">
        <v>1254</v>
      </c>
      <c r="B255" t="s">
        <v>67</v>
      </c>
      <c r="C255" t="s">
        <v>21</v>
      </c>
      <c r="D255">
        <v>43</v>
      </c>
      <c r="E255" t="s">
        <v>82</v>
      </c>
      <c r="F255" t="s">
        <v>55</v>
      </c>
      <c r="G255" t="s">
        <v>69</v>
      </c>
      <c r="H255" t="s">
        <v>69</v>
      </c>
      <c r="I255" t="s">
        <v>97</v>
      </c>
      <c r="J255" t="s">
        <v>27</v>
      </c>
      <c r="K255" s="2" t="s">
        <v>310</v>
      </c>
      <c r="L255" t="s">
        <v>29</v>
      </c>
      <c r="M255" t="s">
        <v>94</v>
      </c>
      <c r="N255" t="s">
        <v>31</v>
      </c>
      <c r="O255">
        <v>3</v>
      </c>
      <c r="P255" t="s">
        <v>44</v>
      </c>
      <c r="Q255">
        <v>20</v>
      </c>
      <c r="R255" s="15">
        <v>64773</v>
      </c>
      <c r="S255" s="15">
        <v>1098000</v>
      </c>
      <c r="T255" s="16">
        <v>7133227</v>
      </c>
      <c r="U255" t="str">
        <f t="shared" si="6"/>
        <v>no</v>
      </c>
      <c r="V255" t="str">
        <f t="shared" si="7"/>
        <v>standard</v>
      </c>
    </row>
    <row r="256" spans="1:22" x14ac:dyDescent="0.3">
      <c r="A256">
        <v>1255</v>
      </c>
      <c r="B256" t="s">
        <v>95</v>
      </c>
      <c r="C256" t="s">
        <v>21</v>
      </c>
      <c r="D256">
        <v>32</v>
      </c>
      <c r="E256" t="s">
        <v>82</v>
      </c>
      <c r="F256" t="s">
        <v>55</v>
      </c>
      <c r="G256" t="s">
        <v>74</v>
      </c>
      <c r="H256" t="s">
        <v>75</v>
      </c>
      <c r="I256" t="s">
        <v>48</v>
      </c>
      <c r="J256" t="s">
        <v>49</v>
      </c>
      <c r="K256" s="2" t="s">
        <v>311</v>
      </c>
      <c r="L256" t="s">
        <v>29</v>
      </c>
      <c r="M256" t="s">
        <v>43</v>
      </c>
      <c r="N256" t="s">
        <v>52</v>
      </c>
      <c r="O256">
        <v>3</v>
      </c>
      <c r="P256" t="s">
        <v>44</v>
      </c>
      <c r="Q256">
        <v>6</v>
      </c>
      <c r="R256" s="15">
        <v>290293</v>
      </c>
      <c r="S256" s="15">
        <v>1098000</v>
      </c>
      <c r="T256" s="16">
        <v>6907707</v>
      </c>
      <c r="U256" t="str">
        <f t="shared" si="6"/>
        <v>no</v>
      </c>
      <c r="V256" t="str">
        <f t="shared" si="7"/>
        <v>standard</v>
      </c>
    </row>
    <row r="257" spans="1:22" x14ac:dyDescent="0.3">
      <c r="A257">
        <v>1256</v>
      </c>
      <c r="B257" t="s">
        <v>72</v>
      </c>
      <c r="C257" t="s">
        <v>21</v>
      </c>
      <c r="D257">
        <v>55</v>
      </c>
      <c r="E257" t="s">
        <v>46</v>
      </c>
      <c r="F257" t="s">
        <v>36</v>
      </c>
      <c r="G257" t="s">
        <v>74</v>
      </c>
      <c r="H257" t="s">
        <v>75</v>
      </c>
      <c r="I257" t="s">
        <v>97</v>
      </c>
      <c r="J257" t="s">
        <v>27</v>
      </c>
      <c r="K257" s="2" t="s">
        <v>284</v>
      </c>
      <c r="L257" t="s">
        <v>71</v>
      </c>
      <c r="M257" t="s">
        <v>78</v>
      </c>
      <c r="N257" t="s">
        <v>52</v>
      </c>
      <c r="O257">
        <v>2</v>
      </c>
      <c r="P257" t="s">
        <v>44</v>
      </c>
      <c r="Q257">
        <v>9</v>
      </c>
      <c r="R257" s="15">
        <v>265715</v>
      </c>
      <c r="S257" s="15">
        <v>5760000</v>
      </c>
      <c r="T257" s="16">
        <v>37494285</v>
      </c>
      <c r="U257" t="str">
        <f t="shared" si="6"/>
        <v>yes</v>
      </c>
      <c r="V257" t="str">
        <f t="shared" si="7"/>
        <v>ultra premium</v>
      </c>
    </row>
    <row r="258" spans="1:22" x14ac:dyDescent="0.3">
      <c r="A258">
        <v>1257</v>
      </c>
      <c r="B258" t="s">
        <v>114</v>
      </c>
      <c r="C258" t="s">
        <v>34</v>
      </c>
      <c r="D258">
        <v>29</v>
      </c>
      <c r="E258" t="s">
        <v>22</v>
      </c>
      <c r="F258" t="s">
        <v>36</v>
      </c>
      <c r="G258" t="s">
        <v>37</v>
      </c>
      <c r="H258" t="s">
        <v>38</v>
      </c>
      <c r="I258" t="s">
        <v>76</v>
      </c>
      <c r="J258" t="s">
        <v>27</v>
      </c>
      <c r="K258" s="2" t="s">
        <v>312</v>
      </c>
      <c r="L258" t="s">
        <v>29</v>
      </c>
      <c r="M258" t="s">
        <v>51</v>
      </c>
      <c r="N258" t="s">
        <v>52</v>
      </c>
      <c r="O258">
        <v>2</v>
      </c>
      <c r="P258" t="s">
        <v>44</v>
      </c>
      <c r="Q258">
        <v>6</v>
      </c>
      <c r="R258" s="15">
        <v>193275</v>
      </c>
      <c r="S258" s="15">
        <v>756000</v>
      </c>
      <c r="T258" s="16">
        <v>4762725</v>
      </c>
      <c r="U258" t="str">
        <f t="shared" si="6"/>
        <v>no</v>
      </c>
      <c r="V258" t="str">
        <f t="shared" si="7"/>
        <v>standard</v>
      </c>
    </row>
    <row r="259" spans="1:22" x14ac:dyDescent="0.3">
      <c r="A259">
        <v>1258</v>
      </c>
      <c r="B259" t="s">
        <v>95</v>
      </c>
      <c r="C259" t="s">
        <v>34</v>
      </c>
      <c r="D259">
        <v>34</v>
      </c>
      <c r="E259" t="s">
        <v>73</v>
      </c>
      <c r="F259" t="s">
        <v>23</v>
      </c>
      <c r="G259" t="s">
        <v>56</v>
      </c>
      <c r="H259" t="s">
        <v>57</v>
      </c>
      <c r="I259" t="s">
        <v>76</v>
      </c>
      <c r="J259" t="s">
        <v>87</v>
      </c>
      <c r="K259" s="2" t="s">
        <v>313</v>
      </c>
      <c r="L259" t="s">
        <v>59</v>
      </c>
      <c r="M259" t="s">
        <v>30</v>
      </c>
      <c r="N259" t="s">
        <v>52</v>
      </c>
      <c r="O259">
        <v>2</v>
      </c>
      <c r="P259" t="s">
        <v>44</v>
      </c>
      <c r="Q259">
        <v>21</v>
      </c>
      <c r="R259" s="15">
        <v>101719</v>
      </c>
      <c r="S259" s="15">
        <v>1224000</v>
      </c>
      <c r="T259" s="16">
        <v>7922281</v>
      </c>
      <c r="U259" t="str">
        <f t="shared" ref="U259:U322" si="8">IF(OR(E259="AMG C43",E259="AMG G63"),"yes","no")</f>
        <v>no</v>
      </c>
      <c r="V259" t="str">
        <f t="shared" ref="V259:V322" si="9">IF(T259&gt;=20000000,"ultra premium",IF(T259&gt;=10000000,"premium",IF(T259&gt;=4500000,"standard","budget")))</f>
        <v>standard</v>
      </c>
    </row>
    <row r="260" spans="1:22" x14ac:dyDescent="0.3">
      <c r="A260">
        <v>1259</v>
      </c>
      <c r="B260" t="s">
        <v>67</v>
      </c>
      <c r="C260" t="s">
        <v>34</v>
      </c>
      <c r="D260">
        <v>57</v>
      </c>
      <c r="E260" t="s">
        <v>61</v>
      </c>
      <c r="F260" t="s">
        <v>36</v>
      </c>
      <c r="G260" t="s">
        <v>63</v>
      </c>
      <c r="H260" t="s">
        <v>64</v>
      </c>
      <c r="I260" t="s">
        <v>48</v>
      </c>
      <c r="J260" t="s">
        <v>40</v>
      </c>
      <c r="K260" s="2" t="s">
        <v>314</v>
      </c>
      <c r="L260" t="s">
        <v>59</v>
      </c>
      <c r="M260" t="s">
        <v>78</v>
      </c>
      <c r="N260" t="s">
        <v>52</v>
      </c>
      <c r="O260">
        <v>2</v>
      </c>
      <c r="P260" t="s">
        <v>53</v>
      </c>
      <c r="Q260">
        <v>9</v>
      </c>
      <c r="R260" s="15">
        <v>244801</v>
      </c>
      <c r="S260" s="15">
        <v>2250000</v>
      </c>
      <c r="T260" s="16">
        <v>14505199</v>
      </c>
      <c r="U260" t="str">
        <f t="shared" si="8"/>
        <v>no</v>
      </c>
      <c r="V260" t="str">
        <f t="shared" si="9"/>
        <v>premium</v>
      </c>
    </row>
    <row r="261" spans="1:22" x14ac:dyDescent="0.3">
      <c r="A261">
        <v>1260</v>
      </c>
      <c r="B261" t="s">
        <v>101</v>
      </c>
      <c r="C261" t="s">
        <v>34</v>
      </c>
      <c r="D261">
        <v>25</v>
      </c>
      <c r="E261" t="s">
        <v>61</v>
      </c>
      <c r="F261" t="s">
        <v>55</v>
      </c>
      <c r="G261" t="s">
        <v>24</v>
      </c>
      <c r="H261" t="s">
        <v>25</v>
      </c>
      <c r="I261" t="s">
        <v>48</v>
      </c>
      <c r="J261" t="s">
        <v>27</v>
      </c>
      <c r="K261" s="2" t="s">
        <v>315</v>
      </c>
      <c r="L261" t="s">
        <v>71</v>
      </c>
      <c r="M261" t="s">
        <v>51</v>
      </c>
      <c r="N261" t="s">
        <v>31</v>
      </c>
      <c r="O261">
        <v>4</v>
      </c>
      <c r="P261" t="s">
        <v>44</v>
      </c>
      <c r="Q261">
        <v>20</v>
      </c>
      <c r="R261" s="15">
        <v>53646</v>
      </c>
      <c r="S261" s="15">
        <v>2250000</v>
      </c>
      <c r="T261" s="16">
        <v>14696354</v>
      </c>
      <c r="U261" t="str">
        <f t="shared" si="8"/>
        <v>no</v>
      </c>
      <c r="V261" t="str">
        <f t="shared" si="9"/>
        <v>premium</v>
      </c>
    </row>
    <row r="262" spans="1:22" x14ac:dyDescent="0.3">
      <c r="A262">
        <v>1261</v>
      </c>
      <c r="B262" t="s">
        <v>104</v>
      </c>
      <c r="C262" t="s">
        <v>21</v>
      </c>
      <c r="D262">
        <v>37</v>
      </c>
      <c r="E262" t="s">
        <v>35</v>
      </c>
      <c r="F262" t="s">
        <v>62</v>
      </c>
      <c r="G262" t="s">
        <v>47</v>
      </c>
      <c r="H262" t="s">
        <v>25</v>
      </c>
      <c r="I262" t="s">
        <v>76</v>
      </c>
      <c r="J262" t="s">
        <v>27</v>
      </c>
      <c r="K262" s="2" t="s">
        <v>316</v>
      </c>
      <c r="L262" t="s">
        <v>59</v>
      </c>
      <c r="M262" t="s">
        <v>43</v>
      </c>
      <c r="N262" t="s">
        <v>52</v>
      </c>
      <c r="O262">
        <v>5</v>
      </c>
      <c r="P262" t="s">
        <v>44</v>
      </c>
      <c r="Q262">
        <v>8</v>
      </c>
      <c r="R262" s="15">
        <v>258381</v>
      </c>
      <c r="S262" s="15">
        <v>1764000</v>
      </c>
      <c r="T262" s="16">
        <v>11305619</v>
      </c>
      <c r="U262" t="str">
        <f t="shared" si="8"/>
        <v>yes</v>
      </c>
      <c r="V262" t="str">
        <f t="shared" si="9"/>
        <v>premium</v>
      </c>
    </row>
    <row r="263" spans="1:22" x14ac:dyDescent="0.3">
      <c r="A263">
        <v>1262</v>
      </c>
      <c r="B263" t="s">
        <v>45</v>
      </c>
      <c r="C263" t="s">
        <v>21</v>
      </c>
      <c r="D263">
        <v>30</v>
      </c>
      <c r="E263" t="s">
        <v>118</v>
      </c>
      <c r="F263" t="s">
        <v>36</v>
      </c>
      <c r="G263" t="s">
        <v>115</v>
      </c>
      <c r="H263" t="s">
        <v>106</v>
      </c>
      <c r="I263" t="s">
        <v>26</v>
      </c>
      <c r="J263" t="s">
        <v>40</v>
      </c>
      <c r="K263" s="2" t="s">
        <v>317</v>
      </c>
      <c r="L263" t="s">
        <v>66</v>
      </c>
      <c r="M263" t="s">
        <v>43</v>
      </c>
      <c r="N263" t="s">
        <v>52</v>
      </c>
      <c r="O263">
        <v>3</v>
      </c>
      <c r="P263" t="s">
        <v>32</v>
      </c>
      <c r="Q263">
        <v>20</v>
      </c>
      <c r="R263" s="15">
        <v>289250</v>
      </c>
      <c r="S263" s="15">
        <v>1350000</v>
      </c>
      <c r="T263" s="16">
        <v>8560750</v>
      </c>
      <c r="U263" t="str">
        <f t="shared" si="8"/>
        <v>no</v>
      </c>
      <c r="V263" t="str">
        <f t="shared" si="9"/>
        <v>standard</v>
      </c>
    </row>
    <row r="264" spans="1:22" x14ac:dyDescent="0.3">
      <c r="A264">
        <v>1263</v>
      </c>
      <c r="B264" t="s">
        <v>101</v>
      </c>
      <c r="C264" t="s">
        <v>34</v>
      </c>
      <c r="D264">
        <v>36</v>
      </c>
      <c r="E264" t="s">
        <v>35</v>
      </c>
      <c r="F264" t="s">
        <v>62</v>
      </c>
      <c r="G264" t="s">
        <v>74</v>
      </c>
      <c r="H264" t="s">
        <v>75</v>
      </c>
      <c r="I264" t="s">
        <v>39</v>
      </c>
      <c r="J264" t="s">
        <v>40</v>
      </c>
      <c r="K264" s="2" t="s">
        <v>193</v>
      </c>
      <c r="L264" t="s">
        <v>42</v>
      </c>
      <c r="M264" t="s">
        <v>51</v>
      </c>
      <c r="N264" t="s">
        <v>31</v>
      </c>
      <c r="O264">
        <v>3</v>
      </c>
      <c r="P264" t="s">
        <v>53</v>
      </c>
      <c r="Q264">
        <v>16</v>
      </c>
      <c r="R264" s="15">
        <v>94911</v>
      </c>
      <c r="S264" s="15">
        <v>1764000</v>
      </c>
      <c r="T264" s="16">
        <v>11469089</v>
      </c>
      <c r="U264" t="str">
        <f t="shared" si="8"/>
        <v>yes</v>
      </c>
      <c r="V264" t="str">
        <f t="shared" si="9"/>
        <v>premium</v>
      </c>
    </row>
    <row r="265" spans="1:22" x14ac:dyDescent="0.3">
      <c r="A265">
        <v>1264</v>
      </c>
      <c r="B265" t="s">
        <v>33</v>
      </c>
      <c r="C265" t="s">
        <v>34</v>
      </c>
      <c r="D265">
        <v>45</v>
      </c>
      <c r="E265" t="s">
        <v>35</v>
      </c>
      <c r="F265" t="s">
        <v>23</v>
      </c>
      <c r="G265" t="s">
        <v>56</v>
      </c>
      <c r="H265" t="s">
        <v>57</v>
      </c>
      <c r="I265" t="s">
        <v>97</v>
      </c>
      <c r="J265" t="s">
        <v>49</v>
      </c>
      <c r="K265" s="2" t="s">
        <v>318</v>
      </c>
      <c r="L265" t="s">
        <v>59</v>
      </c>
      <c r="M265" t="s">
        <v>94</v>
      </c>
      <c r="N265" t="s">
        <v>31</v>
      </c>
      <c r="O265">
        <v>2</v>
      </c>
      <c r="P265" t="s">
        <v>53</v>
      </c>
      <c r="Q265">
        <v>11</v>
      </c>
      <c r="R265" s="15">
        <v>77848</v>
      </c>
      <c r="S265" s="15">
        <v>1764000</v>
      </c>
      <c r="T265" s="16">
        <v>11486152</v>
      </c>
      <c r="U265" t="str">
        <f t="shared" si="8"/>
        <v>yes</v>
      </c>
      <c r="V265" t="str">
        <f t="shared" si="9"/>
        <v>premium</v>
      </c>
    </row>
    <row r="266" spans="1:22" x14ac:dyDescent="0.3">
      <c r="A266">
        <v>1265</v>
      </c>
      <c r="B266" t="s">
        <v>54</v>
      </c>
      <c r="C266" t="s">
        <v>34</v>
      </c>
      <c r="D266">
        <v>48</v>
      </c>
      <c r="E266" t="s">
        <v>22</v>
      </c>
      <c r="F266" t="s">
        <v>62</v>
      </c>
      <c r="G266" t="s">
        <v>115</v>
      </c>
      <c r="H266" t="s">
        <v>106</v>
      </c>
      <c r="I266" t="s">
        <v>48</v>
      </c>
      <c r="J266" t="s">
        <v>27</v>
      </c>
      <c r="K266" s="2" t="s">
        <v>319</v>
      </c>
      <c r="L266" t="s">
        <v>66</v>
      </c>
      <c r="M266" t="s">
        <v>94</v>
      </c>
      <c r="N266" t="s">
        <v>31</v>
      </c>
      <c r="O266">
        <v>5</v>
      </c>
      <c r="P266" t="s">
        <v>86</v>
      </c>
      <c r="Q266">
        <v>9</v>
      </c>
      <c r="R266" s="15">
        <v>64181</v>
      </c>
      <c r="S266" s="15">
        <v>756000</v>
      </c>
      <c r="T266" s="16">
        <v>4891819</v>
      </c>
      <c r="U266" t="str">
        <f t="shared" si="8"/>
        <v>no</v>
      </c>
      <c r="V266" t="str">
        <f t="shared" si="9"/>
        <v>standard</v>
      </c>
    </row>
    <row r="267" spans="1:22" x14ac:dyDescent="0.3">
      <c r="A267">
        <v>1266</v>
      </c>
      <c r="B267" t="s">
        <v>95</v>
      </c>
      <c r="C267" t="s">
        <v>34</v>
      </c>
      <c r="D267">
        <v>55</v>
      </c>
      <c r="E267" t="s">
        <v>46</v>
      </c>
      <c r="F267" t="s">
        <v>55</v>
      </c>
      <c r="G267" t="s">
        <v>47</v>
      </c>
      <c r="H267" t="s">
        <v>25</v>
      </c>
      <c r="I267" t="s">
        <v>26</v>
      </c>
      <c r="J267" t="s">
        <v>87</v>
      </c>
      <c r="K267" s="2" t="s">
        <v>209</v>
      </c>
      <c r="L267" t="s">
        <v>71</v>
      </c>
      <c r="M267" t="s">
        <v>51</v>
      </c>
      <c r="N267" t="s">
        <v>31</v>
      </c>
      <c r="O267">
        <v>2</v>
      </c>
      <c r="P267" t="s">
        <v>86</v>
      </c>
      <c r="Q267">
        <v>16</v>
      </c>
      <c r="R267" s="15">
        <v>99668</v>
      </c>
      <c r="S267" s="15">
        <v>5760000</v>
      </c>
      <c r="T267" s="16">
        <v>37660332</v>
      </c>
      <c r="U267" t="str">
        <f t="shared" si="8"/>
        <v>yes</v>
      </c>
      <c r="V267" t="str">
        <f t="shared" si="9"/>
        <v>ultra premium</v>
      </c>
    </row>
    <row r="268" spans="1:22" x14ac:dyDescent="0.3">
      <c r="A268">
        <v>1267</v>
      </c>
      <c r="B268" t="s">
        <v>54</v>
      </c>
      <c r="C268" t="s">
        <v>21</v>
      </c>
      <c r="D268">
        <v>39</v>
      </c>
      <c r="E268" t="s">
        <v>35</v>
      </c>
      <c r="F268" t="s">
        <v>36</v>
      </c>
      <c r="G268" t="s">
        <v>115</v>
      </c>
      <c r="H268" t="s">
        <v>106</v>
      </c>
      <c r="I268" t="s">
        <v>26</v>
      </c>
      <c r="J268" t="s">
        <v>87</v>
      </c>
      <c r="K268" s="2" t="s">
        <v>320</v>
      </c>
      <c r="L268" t="s">
        <v>66</v>
      </c>
      <c r="M268" t="s">
        <v>30</v>
      </c>
      <c r="N268" t="s">
        <v>52</v>
      </c>
      <c r="O268">
        <v>4</v>
      </c>
      <c r="P268" t="s">
        <v>86</v>
      </c>
      <c r="Q268">
        <v>10</v>
      </c>
      <c r="R268" s="15">
        <v>198785</v>
      </c>
      <c r="S268" s="15">
        <v>1764000</v>
      </c>
      <c r="T268" s="16">
        <v>11365215</v>
      </c>
      <c r="U268" t="str">
        <f t="shared" si="8"/>
        <v>yes</v>
      </c>
      <c r="V268" t="str">
        <f t="shared" si="9"/>
        <v>premium</v>
      </c>
    </row>
    <row r="269" spans="1:22" x14ac:dyDescent="0.3">
      <c r="A269">
        <v>1268</v>
      </c>
      <c r="B269" t="s">
        <v>79</v>
      </c>
      <c r="C269" t="s">
        <v>34</v>
      </c>
      <c r="D269">
        <v>26</v>
      </c>
      <c r="E269" t="s">
        <v>90</v>
      </c>
      <c r="F269" t="s">
        <v>36</v>
      </c>
      <c r="G269" t="s">
        <v>24</v>
      </c>
      <c r="H269" t="s">
        <v>25</v>
      </c>
      <c r="I269" t="s">
        <v>76</v>
      </c>
      <c r="J269" t="s">
        <v>49</v>
      </c>
      <c r="K269" s="2" t="s">
        <v>321</v>
      </c>
      <c r="L269" t="s">
        <v>42</v>
      </c>
      <c r="M269" t="s">
        <v>78</v>
      </c>
      <c r="N269" t="s">
        <v>52</v>
      </c>
      <c r="O269">
        <v>5</v>
      </c>
      <c r="P269" t="s">
        <v>32</v>
      </c>
      <c r="Q269">
        <v>10</v>
      </c>
      <c r="R269" s="15">
        <v>128524</v>
      </c>
      <c r="S269" s="15">
        <v>702000</v>
      </c>
      <c r="T269" s="16">
        <v>4473476</v>
      </c>
      <c r="U269" t="str">
        <f t="shared" si="8"/>
        <v>no</v>
      </c>
      <c r="V269" t="str">
        <f t="shared" si="9"/>
        <v>budget</v>
      </c>
    </row>
    <row r="270" spans="1:22" x14ac:dyDescent="0.3">
      <c r="A270">
        <v>1269</v>
      </c>
      <c r="B270" t="s">
        <v>54</v>
      </c>
      <c r="C270" t="s">
        <v>21</v>
      </c>
      <c r="D270">
        <v>56</v>
      </c>
      <c r="E270" t="s">
        <v>73</v>
      </c>
      <c r="F270" t="s">
        <v>23</v>
      </c>
      <c r="G270" t="s">
        <v>24</v>
      </c>
      <c r="H270" t="s">
        <v>25</v>
      </c>
      <c r="I270" t="s">
        <v>97</v>
      </c>
      <c r="J270" t="s">
        <v>27</v>
      </c>
      <c r="K270" s="2" t="s">
        <v>322</v>
      </c>
      <c r="L270" t="s">
        <v>71</v>
      </c>
      <c r="M270" t="s">
        <v>30</v>
      </c>
      <c r="N270" t="s">
        <v>31</v>
      </c>
      <c r="O270">
        <v>4</v>
      </c>
      <c r="P270" t="s">
        <v>44</v>
      </c>
      <c r="Q270">
        <v>6</v>
      </c>
      <c r="R270" s="15">
        <v>70869</v>
      </c>
      <c r="S270" s="15">
        <v>1224000</v>
      </c>
      <c r="T270" s="16">
        <v>7953131</v>
      </c>
      <c r="U270" t="str">
        <f t="shared" si="8"/>
        <v>no</v>
      </c>
      <c r="V270" t="str">
        <f t="shared" si="9"/>
        <v>standard</v>
      </c>
    </row>
    <row r="271" spans="1:22" x14ac:dyDescent="0.3">
      <c r="A271">
        <v>1270</v>
      </c>
      <c r="B271" t="s">
        <v>60</v>
      </c>
      <c r="C271" t="s">
        <v>34</v>
      </c>
      <c r="D271">
        <v>52</v>
      </c>
      <c r="E271" t="s">
        <v>35</v>
      </c>
      <c r="F271" t="s">
        <v>23</v>
      </c>
      <c r="G271" t="s">
        <v>63</v>
      </c>
      <c r="H271" t="s">
        <v>64</v>
      </c>
      <c r="I271" t="s">
        <v>39</v>
      </c>
      <c r="J271" t="s">
        <v>87</v>
      </c>
      <c r="K271" s="2" t="s">
        <v>230</v>
      </c>
      <c r="L271" t="s">
        <v>66</v>
      </c>
      <c r="M271" t="s">
        <v>43</v>
      </c>
      <c r="N271" t="s">
        <v>31</v>
      </c>
      <c r="O271">
        <v>4</v>
      </c>
      <c r="P271" t="s">
        <v>32</v>
      </c>
      <c r="Q271">
        <v>16</v>
      </c>
      <c r="R271" s="15">
        <v>298945</v>
      </c>
      <c r="S271" s="15">
        <v>1764000</v>
      </c>
      <c r="T271" s="16">
        <v>11265055</v>
      </c>
      <c r="U271" t="str">
        <f t="shared" si="8"/>
        <v>yes</v>
      </c>
      <c r="V271" t="str">
        <f t="shared" si="9"/>
        <v>premium</v>
      </c>
    </row>
    <row r="272" spans="1:22" x14ac:dyDescent="0.3">
      <c r="A272">
        <v>1271</v>
      </c>
      <c r="B272" t="s">
        <v>45</v>
      </c>
      <c r="C272" t="s">
        <v>21</v>
      </c>
      <c r="D272">
        <v>46</v>
      </c>
      <c r="E272" t="s">
        <v>73</v>
      </c>
      <c r="F272" t="s">
        <v>62</v>
      </c>
      <c r="G272" t="s">
        <v>56</v>
      </c>
      <c r="H272" t="s">
        <v>57</v>
      </c>
      <c r="I272" t="s">
        <v>26</v>
      </c>
      <c r="J272" t="s">
        <v>49</v>
      </c>
      <c r="K272" s="2" t="s">
        <v>323</v>
      </c>
      <c r="L272" t="s">
        <v>59</v>
      </c>
      <c r="M272" t="s">
        <v>78</v>
      </c>
      <c r="N272" t="s">
        <v>31</v>
      </c>
      <c r="O272">
        <v>2</v>
      </c>
      <c r="P272" t="s">
        <v>86</v>
      </c>
      <c r="Q272">
        <v>13</v>
      </c>
      <c r="R272" s="15">
        <v>230302</v>
      </c>
      <c r="S272" s="15">
        <v>1224000</v>
      </c>
      <c r="T272" s="16">
        <v>7793698</v>
      </c>
      <c r="U272" t="str">
        <f t="shared" si="8"/>
        <v>no</v>
      </c>
      <c r="V272" t="str">
        <f t="shared" si="9"/>
        <v>standard</v>
      </c>
    </row>
    <row r="273" spans="1:22" x14ac:dyDescent="0.3">
      <c r="A273">
        <v>1272</v>
      </c>
      <c r="B273" t="s">
        <v>104</v>
      </c>
      <c r="C273" t="s">
        <v>34</v>
      </c>
      <c r="D273">
        <v>43</v>
      </c>
      <c r="E273" t="s">
        <v>73</v>
      </c>
      <c r="F273" t="s">
        <v>62</v>
      </c>
      <c r="G273" t="s">
        <v>74</v>
      </c>
      <c r="H273" t="s">
        <v>75</v>
      </c>
      <c r="I273" t="s">
        <v>26</v>
      </c>
      <c r="J273" t="s">
        <v>87</v>
      </c>
      <c r="K273" s="2" t="s">
        <v>324</v>
      </c>
      <c r="L273" t="s">
        <v>29</v>
      </c>
      <c r="M273" t="s">
        <v>51</v>
      </c>
      <c r="N273" t="s">
        <v>31</v>
      </c>
      <c r="O273">
        <v>5</v>
      </c>
      <c r="P273" t="s">
        <v>44</v>
      </c>
      <c r="Q273">
        <v>9</v>
      </c>
      <c r="R273" s="15">
        <v>127654</v>
      </c>
      <c r="S273" s="15">
        <v>1224000</v>
      </c>
      <c r="T273" s="16">
        <v>7896346</v>
      </c>
      <c r="U273" t="str">
        <f t="shared" si="8"/>
        <v>no</v>
      </c>
      <c r="V273" t="str">
        <f t="shared" si="9"/>
        <v>standard</v>
      </c>
    </row>
    <row r="274" spans="1:22" x14ac:dyDescent="0.3">
      <c r="A274">
        <v>1273</v>
      </c>
      <c r="B274" t="s">
        <v>72</v>
      </c>
      <c r="C274" t="s">
        <v>21</v>
      </c>
      <c r="D274">
        <v>58</v>
      </c>
      <c r="E274" t="s">
        <v>68</v>
      </c>
      <c r="F274" t="s">
        <v>36</v>
      </c>
      <c r="G274" t="s">
        <v>56</v>
      </c>
      <c r="H274" t="s">
        <v>57</v>
      </c>
      <c r="I274" t="s">
        <v>76</v>
      </c>
      <c r="J274" t="s">
        <v>49</v>
      </c>
      <c r="K274" s="2" t="s">
        <v>325</v>
      </c>
      <c r="L274" t="s">
        <v>59</v>
      </c>
      <c r="M274" t="s">
        <v>51</v>
      </c>
      <c r="N274" t="s">
        <v>52</v>
      </c>
      <c r="O274">
        <v>4</v>
      </c>
      <c r="P274" t="s">
        <v>53</v>
      </c>
      <c r="Q274">
        <v>12</v>
      </c>
      <c r="R274" s="15">
        <v>221780</v>
      </c>
      <c r="S274" s="15">
        <v>846000</v>
      </c>
      <c r="T274" s="16">
        <v>5324220</v>
      </c>
      <c r="U274" t="str">
        <f t="shared" si="8"/>
        <v>no</v>
      </c>
      <c r="V274" t="str">
        <f t="shared" si="9"/>
        <v>standard</v>
      </c>
    </row>
    <row r="275" spans="1:22" x14ac:dyDescent="0.3">
      <c r="A275">
        <v>1274</v>
      </c>
      <c r="B275" t="s">
        <v>67</v>
      </c>
      <c r="C275" t="s">
        <v>34</v>
      </c>
      <c r="D275">
        <v>41</v>
      </c>
      <c r="E275" t="s">
        <v>46</v>
      </c>
      <c r="F275" t="s">
        <v>62</v>
      </c>
      <c r="G275" t="s">
        <v>115</v>
      </c>
      <c r="H275" t="s">
        <v>106</v>
      </c>
      <c r="I275" t="s">
        <v>26</v>
      </c>
      <c r="J275" t="s">
        <v>27</v>
      </c>
      <c r="K275" s="2" t="s">
        <v>326</v>
      </c>
      <c r="L275" t="s">
        <v>66</v>
      </c>
      <c r="M275" t="s">
        <v>78</v>
      </c>
      <c r="N275" t="s">
        <v>52</v>
      </c>
      <c r="O275">
        <v>3</v>
      </c>
      <c r="P275" t="s">
        <v>44</v>
      </c>
      <c r="Q275">
        <v>16</v>
      </c>
      <c r="R275" s="15">
        <v>87432</v>
      </c>
      <c r="S275" s="15">
        <v>5760000</v>
      </c>
      <c r="T275" s="16">
        <v>37672568</v>
      </c>
      <c r="U275" t="str">
        <f t="shared" si="8"/>
        <v>yes</v>
      </c>
      <c r="V275" t="str">
        <f t="shared" si="9"/>
        <v>ultra premium</v>
      </c>
    </row>
    <row r="276" spans="1:22" x14ac:dyDescent="0.3">
      <c r="A276">
        <v>1275</v>
      </c>
      <c r="B276" t="s">
        <v>45</v>
      </c>
      <c r="C276" t="s">
        <v>21</v>
      </c>
      <c r="D276">
        <v>57</v>
      </c>
      <c r="E276" t="s">
        <v>82</v>
      </c>
      <c r="F276" t="s">
        <v>36</v>
      </c>
      <c r="G276" t="s">
        <v>91</v>
      </c>
      <c r="H276" t="s">
        <v>25</v>
      </c>
      <c r="I276" t="s">
        <v>26</v>
      </c>
      <c r="J276" t="s">
        <v>87</v>
      </c>
      <c r="K276" s="2" t="s">
        <v>240</v>
      </c>
      <c r="L276" t="s">
        <v>59</v>
      </c>
      <c r="M276" t="s">
        <v>30</v>
      </c>
      <c r="N276" t="s">
        <v>31</v>
      </c>
      <c r="O276">
        <v>2</v>
      </c>
      <c r="P276" t="s">
        <v>53</v>
      </c>
      <c r="Q276">
        <v>15</v>
      </c>
      <c r="R276" s="15">
        <v>158985</v>
      </c>
      <c r="S276" s="15">
        <v>1098000</v>
      </c>
      <c r="T276" s="16">
        <v>7039015</v>
      </c>
      <c r="U276" t="str">
        <f t="shared" si="8"/>
        <v>no</v>
      </c>
      <c r="V276" t="str">
        <f t="shared" si="9"/>
        <v>standard</v>
      </c>
    </row>
    <row r="277" spans="1:22" x14ac:dyDescent="0.3">
      <c r="A277">
        <v>1276</v>
      </c>
      <c r="B277" t="s">
        <v>20</v>
      </c>
      <c r="C277" t="s">
        <v>34</v>
      </c>
      <c r="D277">
        <v>41</v>
      </c>
      <c r="E277" t="s">
        <v>68</v>
      </c>
      <c r="F277" t="s">
        <v>23</v>
      </c>
      <c r="G277" t="s">
        <v>37</v>
      </c>
      <c r="H277" t="s">
        <v>38</v>
      </c>
      <c r="I277" t="s">
        <v>97</v>
      </c>
      <c r="J277" t="s">
        <v>40</v>
      </c>
      <c r="K277" s="2" t="s">
        <v>327</v>
      </c>
      <c r="L277" t="s">
        <v>29</v>
      </c>
      <c r="M277" t="s">
        <v>94</v>
      </c>
      <c r="N277" t="s">
        <v>52</v>
      </c>
      <c r="O277">
        <v>2</v>
      </c>
      <c r="P277" t="s">
        <v>53</v>
      </c>
      <c r="Q277">
        <v>17</v>
      </c>
      <c r="R277" s="15">
        <v>112826</v>
      </c>
      <c r="S277" s="15">
        <v>846000</v>
      </c>
      <c r="T277" s="16">
        <v>5433174</v>
      </c>
      <c r="U277" t="str">
        <f t="shared" si="8"/>
        <v>no</v>
      </c>
      <c r="V277" t="str">
        <f t="shared" si="9"/>
        <v>standard</v>
      </c>
    </row>
    <row r="278" spans="1:22" x14ac:dyDescent="0.3">
      <c r="A278">
        <v>1277</v>
      </c>
      <c r="B278" t="s">
        <v>20</v>
      </c>
      <c r="C278" t="s">
        <v>34</v>
      </c>
      <c r="D278">
        <v>59</v>
      </c>
      <c r="E278" t="s">
        <v>90</v>
      </c>
      <c r="F278" t="s">
        <v>36</v>
      </c>
      <c r="G278" t="s">
        <v>63</v>
      </c>
      <c r="H278" t="s">
        <v>64</v>
      </c>
      <c r="I278" t="s">
        <v>97</v>
      </c>
      <c r="J278" t="s">
        <v>27</v>
      </c>
      <c r="K278" s="2" t="s">
        <v>328</v>
      </c>
      <c r="L278" t="s">
        <v>29</v>
      </c>
      <c r="M278" t="s">
        <v>78</v>
      </c>
      <c r="N278" t="s">
        <v>52</v>
      </c>
      <c r="O278">
        <v>5</v>
      </c>
      <c r="P278" t="s">
        <v>44</v>
      </c>
      <c r="Q278">
        <v>21</v>
      </c>
      <c r="R278" s="15">
        <v>71163</v>
      </c>
      <c r="S278" s="15">
        <v>702000</v>
      </c>
      <c r="T278" s="16">
        <v>4530837</v>
      </c>
      <c r="U278" t="str">
        <f t="shared" si="8"/>
        <v>no</v>
      </c>
      <c r="V278" t="str">
        <f t="shared" si="9"/>
        <v>standard</v>
      </c>
    </row>
    <row r="279" spans="1:22" x14ac:dyDescent="0.3">
      <c r="A279">
        <v>1278</v>
      </c>
      <c r="B279" t="s">
        <v>60</v>
      </c>
      <c r="C279" t="s">
        <v>21</v>
      </c>
      <c r="D279">
        <v>45</v>
      </c>
      <c r="E279" t="s">
        <v>22</v>
      </c>
      <c r="F279" t="s">
        <v>55</v>
      </c>
      <c r="G279" t="s">
        <v>115</v>
      </c>
      <c r="H279" t="s">
        <v>106</v>
      </c>
      <c r="I279" t="s">
        <v>97</v>
      </c>
      <c r="J279" t="s">
        <v>40</v>
      </c>
      <c r="K279" s="2" t="s">
        <v>329</v>
      </c>
      <c r="L279" t="s">
        <v>42</v>
      </c>
      <c r="M279" t="s">
        <v>94</v>
      </c>
      <c r="N279" t="s">
        <v>31</v>
      </c>
      <c r="O279">
        <v>2</v>
      </c>
      <c r="P279" t="s">
        <v>44</v>
      </c>
      <c r="Q279">
        <v>20</v>
      </c>
      <c r="R279" s="15">
        <v>256817</v>
      </c>
      <c r="S279" s="15">
        <v>756000</v>
      </c>
      <c r="T279" s="16">
        <v>4699183</v>
      </c>
      <c r="U279" t="str">
        <f t="shared" si="8"/>
        <v>no</v>
      </c>
      <c r="V279" t="str">
        <f t="shared" si="9"/>
        <v>standard</v>
      </c>
    </row>
    <row r="280" spans="1:22" x14ac:dyDescent="0.3">
      <c r="A280">
        <v>1279</v>
      </c>
      <c r="B280" t="s">
        <v>95</v>
      </c>
      <c r="C280" t="s">
        <v>34</v>
      </c>
      <c r="D280">
        <v>30</v>
      </c>
      <c r="E280" t="s">
        <v>90</v>
      </c>
      <c r="F280" t="s">
        <v>62</v>
      </c>
      <c r="G280" t="s">
        <v>74</v>
      </c>
      <c r="H280" t="s">
        <v>75</v>
      </c>
      <c r="I280" t="s">
        <v>48</v>
      </c>
      <c r="J280" t="s">
        <v>40</v>
      </c>
      <c r="K280" s="2" t="s">
        <v>330</v>
      </c>
      <c r="L280" t="s">
        <v>66</v>
      </c>
      <c r="M280" t="s">
        <v>94</v>
      </c>
      <c r="N280" t="s">
        <v>52</v>
      </c>
      <c r="O280">
        <v>3</v>
      </c>
      <c r="P280" t="s">
        <v>86</v>
      </c>
      <c r="Q280">
        <v>23</v>
      </c>
      <c r="R280" s="15">
        <v>265449</v>
      </c>
      <c r="S280" s="15">
        <v>702000</v>
      </c>
      <c r="T280" s="16">
        <v>4336551</v>
      </c>
      <c r="U280" t="str">
        <f t="shared" si="8"/>
        <v>no</v>
      </c>
      <c r="V280" t="str">
        <f t="shared" si="9"/>
        <v>budget</v>
      </c>
    </row>
    <row r="281" spans="1:22" x14ac:dyDescent="0.3">
      <c r="A281">
        <v>1280</v>
      </c>
      <c r="B281" t="s">
        <v>72</v>
      </c>
      <c r="C281" t="s">
        <v>21</v>
      </c>
      <c r="D281">
        <v>49</v>
      </c>
      <c r="E281" t="s">
        <v>82</v>
      </c>
      <c r="F281" t="s">
        <v>62</v>
      </c>
      <c r="G281" t="s">
        <v>47</v>
      </c>
      <c r="H281" t="s">
        <v>25</v>
      </c>
      <c r="I281" t="s">
        <v>26</v>
      </c>
      <c r="J281" t="s">
        <v>27</v>
      </c>
      <c r="K281" s="2" t="s">
        <v>331</v>
      </c>
      <c r="L281" t="s">
        <v>71</v>
      </c>
      <c r="M281" t="s">
        <v>78</v>
      </c>
      <c r="N281" t="s">
        <v>31</v>
      </c>
      <c r="O281">
        <v>4</v>
      </c>
      <c r="P281" t="s">
        <v>32</v>
      </c>
      <c r="Q281">
        <v>23</v>
      </c>
      <c r="R281" s="15">
        <v>149591</v>
      </c>
      <c r="S281" s="15">
        <v>1098000</v>
      </c>
      <c r="T281" s="16">
        <v>7048409</v>
      </c>
      <c r="U281" t="str">
        <f t="shared" si="8"/>
        <v>no</v>
      </c>
      <c r="V281" t="str">
        <f t="shared" si="9"/>
        <v>standard</v>
      </c>
    </row>
    <row r="282" spans="1:22" x14ac:dyDescent="0.3">
      <c r="A282">
        <v>1281</v>
      </c>
      <c r="B282" t="s">
        <v>95</v>
      </c>
      <c r="C282" t="s">
        <v>34</v>
      </c>
      <c r="D282">
        <v>33</v>
      </c>
      <c r="E282" t="s">
        <v>35</v>
      </c>
      <c r="F282" t="s">
        <v>23</v>
      </c>
      <c r="G282" t="s">
        <v>105</v>
      </c>
      <c r="H282" t="s">
        <v>106</v>
      </c>
      <c r="I282" t="s">
        <v>76</v>
      </c>
      <c r="J282" t="s">
        <v>40</v>
      </c>
      <c r="K282" s="2" t="s">
        <v>332</v>
      </c>
      <c r="L282" t="s">
        <v>66</v>
      </c>
      <c r="M282" t="s">
        <v>78</v>
      </c>
      <c r="N282" t="s">
        <v>52</v>
      </c>
      <c r="O282">
        <v>2</v>
      </c>
      <c r="P282" t="s">
        <v>86</v>
      </c>
      <c r="Q282">
        <v>18</v>
      </c>
      <c r="R282" s="15">
        <v>249088</v>
      </c>
      <c r="S282" s="15">
        <v>1764000</v>
      </c>
      <c r="T282" s="16">
        <v>11314912</v>
      </c>
      <c r="U282" t="str">
        <f t="shared" si="8"/>
        <v>yes</v>
      </c>
      <c r="V282" t="str">
        <f t="shared" si="9"/>
        <v>premium</v>
      </c>
    </row>
    <row r="283" spans="1:22" x14ac:dyDescent="0.3">
      <c r="A283">
        <v>1282</v>
      </c>
      <c r="B283" t="s">
        <v>67</v>
      </c>
      <c r="C283" t="s">
        <v>34</v>
      </c>
      <c r="D283">
        <v>55</v>
      </c>
      <c r="E283" t="s">
        <v>46</v>
      </c>
      <c r="F283" t="s">
        <v>23</v>
      </c>
      <c r="G283" t="s">
        <v>24</v>
      </c>
      <c r="H283" t="s">
        <v>25</v>
      </c>
      <c r="I283" t="s">
        <v>48</v>
      </c>
      <c r="J283" t="s">
        <v>87</v>
      </c>
      <c r="K283" s="2" t="s">
        <v>149</v>
      </c>
      <c r="L283" t="s">
        <v>66</v>
      </c>
      <c r="M283" t="s">
        <v>51</v>
      </c>
      <c r="N283" t="s">
        <v>52</v>
      </c>
      <c r="O283">
        <v>3</v>
      </c>
      <c r="P283" t="s">
        <v>32</v>
      </c>
      <c r="Q283">
        <v>19</v>
      </c>
      <c r="R283" s="15">
        <v>102017</v>
      </c>
      <c r="S283" s="15">
        <v>5760000</v>
      </c>
      <c r="T283" s="16">
        <v>37657983</v>
      </c>
      <c r="U283" t="str">
        <f t="shared" si="8"/>
        <v>yes</v>
      </c>
      <c r="V283" t="str">
        <f t="shared" si="9"/>
        <v>ultra premium</v>
      </c>
    </row>
    <row r="284" spans="1:22" x14ac:dyDescent="0.3">
      <c r="A284">
        <v>1283</v>
      </c>
      <c r="B284" t="s">
        <v>33</v>
      </c>
      <c r="C284" t="s">
        <v>21</v>
      </c>
      <c r="D284">
        <v>30</v>
      </c>
      <c r="E284" t="s">
        <v>68</v>
      </c>
      <c r="F284" t="s">
        <v>55</v>
      </c>
      <c r="G284" t="s">
        <v>24</v>
      </c>
      <c r="H284" t="s">
        <v>25</v>
      </c>
      <c r="I284" t="s">
        <v>39</v>
      </c>
      <c r="J284" t="s">
        <v>40</v>
      </c>
      <c r="K284" s="2" t="s">
        <v>255</v>
      </c>
      <c r="L284" t="s">
        <v>29</v>
      </c>
      <c r="M284" t="s">
        <v>51</v>
      </c>
      <c r="N284" t="s">
        <v>52</v>
      </c>
      <c r="O284">
        <v>5</v>
      </c>
      <c r="P284" t="s">
        <v>32</v>
      </c>
      <c r="Q284">
        <v>13</v>
      </c>
      <c r="R284" s="15">
        <v>67176</v>
      </c>
      <c r="S284" s="15">
        <v>846000</v>
      </c>
      <c r="T284" s="16">
        <v>5478824</v>
      </c>
      <c r="U284" t="str">
        <f t="shared" si="8"/>
        <v>no</v>
      </c>
      <c r="V284" t="str">
        <f t="shared" si="9"/>
        <v>standard</v>
      </c>
    </row>
    <row r="285" spans="1:22" x14ac:dyDescent="0.3">
      <c r="A285">
        <v>1284</v>
      </c>
      <c r="B285" t="s">
        <v>33</v>
      </c>
      <c r="C285" t="s">
        <v>21</v>
      </c>
      <c r="D285">
        <v>49</v>
      </c>
      <c r="E285" t="s">
        <v>22</v>
      </c>
      <c r="F285" t="s">
        <v>62</v>
      </c>
      <c r="G285" t="s">
        <v>37</v>
      </c>
      <c r="H285" t="s">
        <v>38</v>
      </c>
      <c r="I285" t="s">
        <v>48</v>
      </c>
      <c r="J285" t="s">
        <v>49</v>
      </c>
      <c r="K285" s="2" t="s">
        <v>333</v>
      </c>
      <c r="L285" t="s">
        <v>71</v>
      </c>
      <c r="M285" t="s">
        <v>94</v>
      </c>
      <c r="N285" t="s">
        <v>31</v>
      </c>
      <c r="O285">
        <v>2</v>
      </c>
      <c r="P285" t="s">
        <v>44</v>
      </c>
      <c r="Q285">
        <v>23</v>
      </c>
      <c r="R285" s="15">
        <v>58194</v>
      </c>
      <c r="S285" s="15">
        <v>756000</v>
      </c>
      <c r="T285" s="16">
        <v>4897806</v>
      </c>
      <c r="U285" t="str">
        <f t="shared" si="8"/>
        <v>no</v>
      </c>
      <c r="V285" t="str">
        <f t="shared" si="9"/>
        <v>standard</v>
      </c>
    </row>
    <row r="286" spans="1:22" x14ac:dyDescent="0.3">
      <c r="A286">
        <v>1285</v>
      </c>
      <c r="B286" t="s">
        <v>72</v>
      </c>
      <c r="C286" t="s">
        <v>34</v>
      </c>
      <c r="D286">
        <v>44</v>
      </c>
      <c r="E286" t="s">
        <v>35</v>
      </c>
      <c r="F286" t="s">
        <v>23</v>
      </c>
      <c r="G286" t="s">
        <v>69</v>
      </c>
      <c r="H286" t="s">
        <v>69</v>
      </c>
      <c r="I286" t="s">
        <v>39</v>
      </c>
      <c r="J286" t="s">
        <v>40</v>
      </c>
      <c r="K286" s="2" t="s">
        <v>334</v>
      </c>
      <c r="L286" t="s">
        <v>66</v>
      </c>
      <c r="M286" t="s">
        <v>51</v>
      </c>
      <c r="N286" t="s">
        <v>31</v>
      </c>
      <c r="O286">
        <v>5</v>
      </c>
      <c r="P286" t="s">
        <v>86</v>
      </c>
      <c r="Q286">
        <v>6</v>
      </c>
      <c r="R286" s="15">
        <v>209767</v>
      </c>
      <c r="S286" s="15">
        <v>1764000</v>
      </c>
      <c r="T286" s="16">
        <v>11354233</v>
      </c>
      <c r="U286" t="str">
        <f t="shared" si="8"/>
        <v>yes</v>
      </c>
      <c r="V286" t="str">
        <f t="shared" si="9"/>
        <v>premium</v>
      </c>
    </row>
    <row r="287" spans="1:22" x14ac:dyDescent="0.3">
      <c r="A287">
        <v>1286</v>
      </c>
      <c r="B287" t="s">
        <v>81</v>
      </c>
      <c r="C287" t="s">
        <v>34</v>
      </c>
      <c r="D287">
        <v>45</v>
      </c>
      <c r="E287" t="s">
        <v>61</v>
      </c>
      <c r="F287" t="s">
        <v>23</v>
      </c>
      <c r="G287" t="s">
        <v>56</v>
      </c>
      <c r="H287" t="s">
        <v>57</v>
      </c>
      <c r="I287" t="s">
        <v>39</v>
      </c>
      <c r="J287" t="s">
        <v>40</v>
      </c>
      <c r="K287" s="2" t="s">
        <v>335</v>
      </c>
      <c r="L287" t="s">
        <v>42</v>
      </c>
      <c r="M287" t="s">
        <v>43</v>
      </c>
      <c r="N287" t="s">
        <v>31</v>
      </c>
      <c r="O287">
        <v>5</v>
      </c>
      <c r="P287" t="s">
        <v>53</v>
      </c>
      <c r="Q287">
        <v>6</v>
      </c>
      <c r="R287" s="15">
        <v>221318</v>
      </c>
      <c r="S287" s="15">
        <v>2250000</v>
      </c>
      <c r="T287" s="16">
        <v>14528682</v>
      </c>
      <c r="U287" t="str">
        <f t="shared" si="8"/>
        <v>no</v>
      </c>
      <c r="V287" t="str">
        <f t="shared" si="9"/>
        <v>premium</v>
      </c>
    </row>
    <row r="288" spans="1:22" x14ac:dyDescent="0.3">
      <c r="A288">
        <v>1287</v>
      </c>
      <c r="B288" t="s">
        <v>79</v>
      </c>
      <c r="C288" t="s">
        <v>21</v>
      </c>
      <c r="D288">
        <v>49</v>
      </c>
      <c r="E288" t="s">
        <v>68</v>
      </c>
      <c r="F288" t="s">
        <v>23</v>
      </c>
      <c r="G288" t="s">
        <v>91</v>
      </c>
      <c r="H288" t="s">
        <v>25</v>
      </c>
      <c r="I288" t="s">
        <v>97</v>
      </c>
      <c r="J288" t="s">
        <v>87</v>
      </c>
      <c r="K288" s="2" t="s">
        <v>336</v>
      </c>
      <c r="L288" t="s">
        <v>66</v>
      </c>
      <c r="M288" t="s">
        <v>43</v>
      </c>
      <c r="N288" t="s">
        <v>52</v>
      </c>
      <c r="O288">
        <v>4</v>
      </c>
      <c r="P288" t="s">
        <v>86</v>
      </c>
      <c r="Q288">
        <v>17</v>
      </c>
      <c r="R288" s="15">
        <v>256535</v>
      </c>
      <c r="S288" s="15">
        <v>846000</v>
      </c>
      <c r="T288" s="16">
        <v>5289465</v>
      </c>
      <c r="U288" t="str">
        <f t="shared" si="8"/>
        <v>no</v>
      </c>
      <c r="V288" t="str">
        <f t="shared" si="9"/>
        <v>standard</v>
      </c>
    </row>
    <row r="289" spans="1:22" x14ac:dyDescent="0.3">
      <c r="A289">
        <v>1288</v>
      </c>
      <c r="B289" t="s">
        <v>99</v>
      </c>
      <c r="C289" t="s">
        <v>21</v>
      </c>
      <c r="D289">
        <v>55</v>
      </c>
      <c r="E289" t="s">
        <v>46</v>
      </c>
      <c r="F289" t="s">
        <v>23</v>
      </c>
      <c r="G289" t="s">
        <v>24</v>
      </c>
      <c r="H289" t="s">
        <v>25</v>
      </c>
      <c r="I289" t="s">
        <v>48</v>
      </c>
      <c r="J289" t="s">
        <v>49</v>
      </c>
      <c r="K289" s="2" t="s">
        <v>337</v>
      </c>
      <c r="L289" t="s">
        <v>42</v>
      </c>
      <c r="M289" t="s">
        <v>43</v>
      </c>
      <c r="N289" t="s">
        <v>52</v>
      </c>
      <c r="O289">
        <v>5</v>
      </c>
      <c r="P289" t="s">
        <v>44</v>
      </c>
      <c r="Q289">
        <v>12</v>
      </c>
      <c r="R289" s="15">
        <v>191783</v>
      </c>
      <c r="S289" s="15">
        <v>5760000</v>
      </c>
      <c r="T289" s="16">
        <v>37568217</v>
      </c>
      <c r="U289" t="str">
        <f t="shared" si="8"/>
        <v>yes</v>
      </c>
      <c r="V289" t="str">
        <f t="shared" si="9"/>
        <v>ultra premium</v>
      </c>
    </row>
    <row r="290" spans="1:22" x14ac:dyDescent="0.3">
      <c r="A290">
        <v>1289</v>
      </c>
      <c r="B290" t="s">
        <v>108</v>
      </c>
      <c r="C290" t="s">
        <v>34</v>
      </c>
      <c r="D290">
        <v>41</v>
      </c>
      <c r="E290" t="s">
        <v>112</v>
      </c>
      <c r="F290" t="s">
        <v>36</v>
      </c>
      <c r="G290" t="s">
        <v>105</v>
      </c>
      <c r="H290" t="s">
        <v>106</v>
      </c>
      <c r="I290" t="s">
        <v>48</v>
      </c>
      <c r="J290" t="s">
        <v>87</v>
      </c>
      <c r="K290" s="2" t="s">
        <v>338</v>
      </c>
      <c r="L290" t="s">
        <v>29</v>
      </c>
      <c r="M290" t="s">
        <v>78</v>
      </c>
      <c r="N290" t="s">
        <v>52</v>
      </c>
      <c r="O290">
        <v>4</v>
      </c>
      <c r="P290" t="s">
        <v>44</v>
      </c>
      <c r="Q290">
        <v>20</v>
      </c>
      <c r="R290" s="15">
        <v>183325</v>
      </c>
      <c r="S290" s="15">
        <v>936000</v>
      </c>
      <c r="T290" s="16">
        <v>5952675</v>
      </c>
      <c r="U290" t="str">
        <f t="shared" si="8"/>
        <v>no</v>
      </c>
      <c r="V290" t="str">
        <f t="shared" si="9"/>
        <v>standard</v>
      </c>
    </row>
    <row r="291" spans="1:22" x14ac:dyDescent="0.3">
      <c r="A291">
        <v>1290</v>
      </c>
      <c r="B291" t="s">
        <v>60</v>
      </c>
      <c r="C291" t="s">
        <v>34</v>
      </c>
      <c r="D291">
        <v>28</v>
      </c>
      <c r="E291" t="s">
        <v>73</v>
      </c>
      <c r="F291" t="s">
        <v>55</v>
      </c>
      <c r="G291" t="s">
        <v>24</v>
      </c>
      <c r="H291" t="s">
        <v>25</v>
      </c>
      <c r="I291" t="s">
        <v>48</v>
      </c>
      <c r="J291" t="s">
        <v>27</v>
      </c>
      <c r="K291" s="2" t="s">
        <v>339</v>
      </c>
      <c r="L291" t="s">
        <v>42</v>
      </c>
      <c r="M291" t="s">
        <v>94</v>
      </c>
      <c r="N291" t="s">
        <v>52</v>
      </c>
      <c r="O291">
        <v>4</v>
      </c>
      <c r="P291" t="s">
        <v>53</v>
      </c>
      <c r="Q291">
        <v>22</v>
      </c>
      <c r="R291" s="15">
        <v>95412</v>
      </c>
      <c r="S291" s="15">
        <v>1224000</v>
      </c>
      <c r="T291" s="16">
        <v>7928588</v>
      </c>
      <c r="U291" t="str">
        <f t="shared" si="8"/>
        <v>no</v>
      </c>
      <c r="V291" t="str">
        <f t="shared" si="9"/>
        <v>standard</v>
      </c>
    </row>
    <row r="292" spans="1:22" x14ac:dyDescent="0.3">
      <c r="A292">
        <v>1291</v>
      </c>
      <c r="B292" t="s">
        <v>101</v>
      </c>
      <c r="C292" t="s">
        <v>34</v>
      </c>
      <c r="D292">
        <v>42</v>
      </c>
      <c r="E292" t="s">
        <v>68</v>
      </c>
      <c r="F292" t="s">
        <v>23</v>
      </c>
      <c r="G292" t="s">
        <v>37</v>
      </c>
      <c r="H292" t="s">
        <v>38</v>
      </c>
      <c r="I292" t="s">
        <v>48</v>
      </c>
      <c r="J292" t="s">
        <v>87</v>
      </c>
      <c r="K292" s="2" t="s">
        <v>340</v>
      </c>
      <c r="L292" t="s">
        <v>42</v>
      </c>
      <c r="M292" t="s">
        <v>78</v>
      </c>
      <c r="N292" t="s">
        <v>31</v>
      </c>
      <c r="O292">
        <v>5</v>
      </c>
      <c r="P292" t="s">
        <v>86</v>
      </c>
      <c r="Q292">
        <v>9</v>
      </c>
      <c r="R292" s="15">
        <v>220795</v>
      </c>
      <c r="S292" s="15">
        <v>846000</v>
      </c>
      <c r="T292" s="16">
        <v>5325205</v>
      </c>
      <c r="U292" t="str">
        <f t="shared" si="8"/>
        <v>no</v>
      </c>
      <c r="V292" t="str">
        <f t="shared" si="9"/>
        <v>standard</v>
      </c>
    </row>
    <row r="293" spans="1:22" x14ac:dyDescent="0.3">
      <c r="A293">
        <v>1292</v>
      </c>
      <c r="B293" t="s">
        <v>33</v>
      </c>
      <c r="C293" t="s">
        <v>21</v>
      </c>
      <c r="D293">
        <v>25</v>
      </c>
      <c r="E293" t="s">
        <v>46</v>
      </c>
      <c r="F293" t="s">
        <v>23</v>
      </c>
      <c r="G293" t="s">
        <v>69</v>
      </c>
      <c r="H293" t="s">
        <v>69</v>
      </c>
      <c r="I293" t="s">
        <v>26</v>
      </c>
      <c r="J293" t="s">
        <v>27</v>
      </c>
      <c r="K293" s="2" t="s">
        <v>215</v>
      </c>
      <c r="L293" t="s">
        <v>66</v>
      </c>
      <c r="M293" t="s">
        <v>43</v>
      </c>
      <c r="N293" t="s">
        <v>31</v>
      </c>
      <c r="O293">
        <v>2</v>
      </c>
      <c r="P293" t="s">
        <v>44</v>
      </c>
      <c r="Q293">
        <v>19</v>
      </c>
      <c r="R293" s="15">
        <v>230594</v>
      </c>
      <c r="S293" s="15">
        <v>5760000</v>
      </c>
      <c r="T293" s="16">
        <v>37529406</v>
      </c>
      <c r="U293" t="str">
        <f t="shared" si="8"/>
        <v>yes</v>
      </c>
      <c r="V293" t="str">
        <f t="shared" si="9"/>
        <v>ultra premium</v>
      </c>
    </row>
    <row r="294" spans="1:22" x14ac:dyDescent="0.3">
      <c r="A294">
        <v>1293</v>
      </c>
      <c r="B294" t="s">
        <v>95</v>
      </c>
      <c r="C294" t="s">
        <v>34</v>
      </c>
      <c r="D294">
        <v>51</v>
      </c>
      <c r="E294" t="s">
        <v>73</v>
      </c>
      <c r="F294" t="s">
        <v>62</v>
      </c>
      <c r="G294" t="s">
        <v>69</v>
      </c>
      <c r="H294" t="s">
        <v>69</v>
      </c>
      <c r="I294" t="s">
        <v>39</v>
      </c>
      <c r="J294" t="s">
        <v>49</v>
      </c>
      <c r="K294" s="2" t="s">
        <v>341</v>
      </c>
      <c r="L294" t="s">
        <v>42</v>
      </c>
      <c r="M294" t="s">
        <v>43</v>
      </c>
      <c r="N294" t="s">
        <v>31</v>
      </c>
      <c r="O294">
        <v>4</v>
      </c>
      <c r="P294" t="s">
        <v>32</v>
      </c>
      <c r="Q294">
        <v>8</v>
      </c>
      <c r="R294" s="15">
        <v>193139</v>
      </c>
      <c r="S294" s="15">
        <v>1224000</v>
      </c>
      <c r="T294" s="16">
        <v>7830861</v>
      </c>
      <c r="U294" t="str">
        <f t="shared" si="8"/>
        <v>no</v>
      </c>
      <c r="V294" t="str">
        <f t="shared" si="9"/>
        <v>standard</v>
      </c>
    </row>
    <row r="295" spans="1:22" x14ac:dyDescent="0.3">
      <c r="A295">
        <v>1294</v>
      </c>
      <c r="B295" t="s">
        <v>95</v>
      </c>
      <c r="C295" t="s">
        <v>21</v>
      </c>
      <c r="D295">
        <v>43</v>
      </c>
      <c r="E295" t="s">
        <v>118</v>
      </c>
      <c r="F295" t="s">
        <v>36</v>
      </c>
      <c r="G295" t="s">
        <v>115</v>
      </c>
      <c r="H295" t="s">
        <v>106</v>
      </c>
      <c r="I295" t="s">
        <v>97</v>
      </c>
      <c r="J295" t="s">
        <v>27</v>
      </c>
      <c r="K295" s="2" t="s">
        <v>342</v>
      </c>
      <c r="L295" t="s">
        <v>66</v>
      </c>
      <c r="M295" t="s">
        <v>94</v>
      </c>
      <c r="N295" t="s">
        <v>31</v>
      </c>
      <c r="O295">
        <v>5</v>
      </c>
      <c r="P295" t="s">
        <v>44</v>
      </c>
      <c r="Q295">
        <v>25</v>
      </c>
      <c r="R295" s="15">
        <v>151413</v>
      </c>
      <c r="S295" s="15">
        <v>1350000</v>
      </c>
      <c r="T295" s="16">
        <v>8698587</v>
      </c>
      <c r="U295" t="str">
        <f t="shared" si="8"/>
        <v>no</v>
      </c>
      <c r="V295" t="str">
        <f t="shared" si="9"/>
        <v>standard</v>
      </c>
    </row>
    <row r="296" spans="1:22" x14ac:dyDescent="0.3">
      <c r="A296">
        <v>1295</v>
      </c>
      <c r="B296" t="s">
        <v>99</v>
      </c>
      <c r="C296" t="s">
        <v>34</v>
      </c>
      <c r="D296">
        <v>56</v>
      </c>
      <c r="E296" t="s">
        <v>22</v>
      </c>
      <c r="F296" t="s">
        <v>36</v>
      </c>
      <c r="G296" t="s">
        <v>63</v>
      </c>
      <c r="H296" t="s">
        <v>64</v>
      </c>
      <c r="I296" t="s">
        <v>26</v>
      </c>
      <c r="J296" t="s">
        <v>27</v>
      </c>
      <c r="K296" s="2" t="s">
        <v>343</v>
      </c>
      <c r="L296" t="s">
        <v>59</v>
      </c>
      <c r="M296" t="s">
        <v>51</v>
      </c>
      <c r="N296" t="s">
        <v>31</v>
      </c>
      <c r="O296">
        <v>3</v>
      </c>
      <c r="P296" t="s">
        <v>44</v>
      </c>
      <c r="Q296">
        <v>20</v>
      </c>
      <c r="R296" s="15">
        <v>74501</v>
      </c>
      <c r="S296" s="15">
        <v>756000</v>
      </c>
      <c r="T296" s="16">
        <v>4881499</v>
      </c>
      <c r="U296" t="str">
        <f t="shared" si="8"/>
        <v>no</v>
      </c>
      <c r="V296" t="str">
        <f t="shared" si="9"/>
        <v>standard</v>
      </c>
    </row>
    <row r="297" spans="1:22" x14ac:dyDescent="0.3">
      <c r="A297">
        <v>1296</v>
      </c>
      <c r="B297" t="s">
        <v>33</v>
      </c>
      <c r="C297" t="s">
        <v>21</v>
      </c>
      <c r="D297">
        <v>56</v>
      </c>
      <c r="E297" t="s">
        <v>22</v>
      </c>
      <c r="F297" t="s">
        <v>62</v>
      </c>
      <c r="G297" t="s">
        <v>115</v>
      </c>
      <c r="H297" t="s">
        <v>106</v>
      </c>
      <c r="I297" t="s">
        <v>76</v>
      </c>
      <c r="J297" t="s">
        <v>49</v>
      </c>
      <c r="K297" s="2" t="s">
        <v>344</v>
      </c>
      <c r="L297" t="s">
        <v>71</v>
      </c>
      <c r="M297" t="s">
        <v>78</v>
      </c>
      <c r="N297" t="s">
        <v>31</v>
      </c>
      <c r="O297">
        <v>3</v>
      </c>
      <c r="P297" t="s">
        <v>53</v>
      </c>
      <c r="Q297">
        <v>21</v>
      </c>
      <c r="R297" s="15">
        <v>54166</v>
      </c>
      <c r="S297" s="15">
        <v>756000</v>
      </c>
      <c r="T297" s="16">
        <v>4901834</v>
      </c>
      <c r="U297" t="str">
        <f t="shared" si="8"/>
        <v>no</v>
      </c>
      <c r="V297" t="str">
        <f t="shared" si="9"/>
        <v>standard</v>
      </c>
    </row>
    <row r="298" spans="1:22" x14ac:dyDescent="0.3">
      <c r="A298">
        <v>1297</v>
      </c>
      <c r="B298" t="s">
        <v>114</v>
      </c>
      <c r="C298" t="s">
        <v>21</v>
      </c>
      <c r="D298">
        <v>46</v>
      </c>
      <c r="E298" t="s">
        <v>68</v>
      </c>
      <c r="F298" t="s">
        <v>62</v>
      </c>
      <c r="G298" t="s">
        <v>37</v>
      </c>
      <c r="H298" t="s">
        <v>38</v>
      </c>
      <c r="I298" t="s">
        <v>76</v>
      </c>
      <c r="J298" t="s">
        <v>49</v>
      </c>
      <c r="K298" s="2" t="s">
        <v>345</v>
      </c>
      <c r="L298" t="s">
        <v>71</v>
      </c>
      <c r="M298" t="s">
        <v>30</v>
      </c>
      <c r="N298" t="s">
        <v>31</v>
      </c>
      <c r="O298">
        <v>2</v>
      </c>
      <c r="P298" t="s">
        <v>53</v>
      </c>
      <c r="Q298">
        <v>7</v>
      </c>
      <c r="R298" s="15">
        <v>201611</v>
      </c>
      <c r="S298" s="15">
        <v>846000</v>
      </c>
      <c r="T298" s="16">
        <v>5344389</v>
      </c>
      <c r="U298" t="str">
        <f t="shared" si="8"/>
        <v>no</v>
      </c>
      <c r="V298" t="str">
        <f t="shared" si="9"/>
        <v>standard</v>
      </c>
    </row>
    <row r="299" spans="1:22" x14ac:dyDescent="0.3">
      <c r="A299">
        <v>1298</v>
      </c>
      <c r="B299" t="s">
        <v>79</v>
      </c>
      <c r="C299" t="s">
        <v>34</v>
      </c>
      <c r="D299">
        <v>50</v>
      </c>
      <c r="E299" t="s">
        <v>73</v>
      </c>
      <c r="F299" t="s">
        <v>36</v>
      </c>
      <c r="G299" t="s">
        <v>37</v>
      </c>
      <c r="H299" t="s">
        <v>38</v>
      </c>
      <c r="I299" t="s">
        <v>48</v>
      </c>
      <c r="J299" t="s">
        <v>87</v>
      </c>
      <c r="K299" s="2" t="s">
        <v>346</v>
      </c>
      <c r="L299" t="s">
        <v>66</v>
      </c>
      <c r="M299" t="s">
        <v>78</v>
      </c>
      <c r="N299" t="s">
        <v>31</v>
      </c>
      <c r="O299">
        <v>5</v>
      </c>
      <c r="P299" t="s">
        <v>44</v>
      </c>
      <c r="Q299">
        <v>13</v>
      </c>
      <c r="R299" s="15">
        <v>141147</v>
      </c>
      <c r="S299" s="15">
        <v>1224000</v>
      </c>
      <c r="T299" s="16">
        <v>7882853</v>
      </c>
      <c r="U299" t="str">
        <f t="shared" si="8"/>
        <v>no</v>
      </c>
      <c r="V299" t="str">
        <f t="shared" si="9"/>
        <v>standard</v>
      </c>
    </row>
    <row r="300" spans="1:22" x14ac:dyDescent="0.3">
      <c r="A300">
        <v>1299</v>
      </c>
      <c r="B300" t="s">
        <v>114</v>
      </c>
      <c r="C300" t="s">
        <v>34</v>
      </c>
      <c r="D300">
        <v>60</v>
      </c>
      <c r="E300" t="s">
        <v>90</v>
      </c>
      <c r="F300" t="s">
        <v>36</v>
      </c>
      <c r="G300" t="s">
        <v>91</v>
      </c>
      <c r="H300" t="s">
        <v>25</v>
      </c>
      <c r="I300" t="s">
        <v>76</v>
      </c>
      <c r="J300" t="s">
        <v>27</v>
      </c>
      <c r="K300" s="2" t="s">
        <v>347</v>
      </c>
      <c r="L300" t="s">
        <v>29</v>
      </c>
      <c r="M300" t="s">
        <v>51</v>
      </c>
      <c r="N300" t="s">
        <v>52</v>
      </c>
      <c r="O300">
        <v>5</v>
      </c>
      <c r="P300" t="s">
        <v>53</v>
      </c>
      <c r="Q300">
        <v>12</v>
      </c>
      <c r="R300" s="15">
        <v>205242</v>
      </c>
      <c r="S300" s="15">
        <v>702000</v>
      </c>
      <c r="T300" s="16">
        <v>4396758</v>
      </c>
      <c r="U300" t="str">
        <f t="shared" si="8"/>
        <v>no</v>
      </c>
      <c r="V300" t="str">
        <f t="shared" si="9"/>
        <v>budget</v>
      </c>
    </row>
    <row r="301" spans="1:22" x14ac:dyDescent="0.3">
      <c r="A301">
        <v>1300</v>
      </c>
      <c r="B301" t="s">
        <v>81</v>
      </c>
      <c r="C301" t="s">
        <v>21</v>
      </c>
      <c r="D301">
        <v>57</v>
      </c>
      <c r="E301" t="s">
        <v>46</v>
      </c>
      <c r="F301" t="s">
        <v>62</v>
      </c>
      <c r="G301" t="s">
        <v>105</v>
      </c>
      <c r="H301" t="s">
        <v>106</v>
      </c>
      <c r="I301" t="s">
        <v>39</v>
      </c>
      <c r="J301" t="s">
        <v>87</v>
      </c>
      <c r="K301" s="2" t="s">
        <v>348</v>
      </c>
      <c r="L301" t="s">
        <v>42</v>
      </c>
      <c r="M301" t="s">
        <v>43</v>
      </c>
      <c r="N301" t="s">
        <v>31</v>
      </c>
      <c r="O301">
        <v>4</v>
      </c>
      <c r="P301" t="s">
        <v>53</v>
      </c>
      <c r="Q301">
        <v>11</v>
      </c>
      <c r="R301" s="15">
        <v>115036</v>
      </c>
      <c r="S301" s="15">
        <v>5760000</v>
      </c>
      <c r="T301" s="16">
        <v>37644964</v>
      </c>
      <c r="U301" t="str">
        <f t="shared" si="8"/>
        <v>yes</v>
      </c>
      <c r="V301" t="str">
        <f t="shared" si="9"/>
        <v>ultra premium</v>
      </c>
    </row>
    <row r="302" spans="1:22" x14ac:dyDescent="0.3">
      <c r="A302">
        <v>1301</v>
      </c>
      <c r="B302" t="s">
        <v>114</v>
      </c>
      <c r="C302" t="s">
        <v>21</v>
      </c>
      <c r="D302">
        <v>49</v>
      </c>
      <c r="E302" t="s">
        <v>112</v>
      </c>
      <c r="F302" t="s">
        <v>62</v>
      </c>
      <c r="G302" t="s">
        <v>24</v>
      </c>
      <c r="H302" t="s">
        <v>25</v>
      </c>
      <c r="I302" t="s">
        <v>39</v>
      </c>
      <c r="J302" t="s">
        <v>27</v>
      </c>
      <c r="K302" s="2" t="s">
        <v>349</v>
      </c>
      <c r="L302" t="s">
        <v>71</v>
      </c>
      <c r="M302" t="s">
        <v>43</v>
      </c>
      <c r="N302" t="s">
        <v>31</v>
      </c>
      <c r="O302">
        <v>3</v>
      </c>
      <c r="P302" t="s">
        <v>86</v>
      </c>
      <c r="Q302">
        <v>14</v>
      </c>
      <c r="R302" s="15">
        <v>166559</v>
      </c>
      <c r="S302" s="15">
        <v>936000</v>
      </c>
      <c r="T302" s="16">
        <v>5969441</v>
      </c>
      <c r="U302" t="str">
        <f t="shared" si="8"/>
        <v>no</v>
      </c>
      <c r="V302" t="str">
        <f t="shared" si="9"/>
        <v>standard</v>
      </c>
    </row>
    <row r="303" spans="1:22" x14ac:dyDescent="0.3">
      <c r="A303">
        <v>1302</v>
      </c>
      <c r="B303" t="s">
        <v>72</v>
      </c>
      <c r="C303" t="s">
        <v>34</v>
      </c>
      <c r="D303">
        <v>59</v>
      </c>
      <c r="E303" t="s">
        <v>82</v>
      </c>
      <c r="F303" t="s">
        <v>36</v>
      </c>
      <c r="G303" t="s">
        <v>91</v>
      </c>
      <c r="H303" t="s">
        <v>25</v>
      </c>
      <c r="I303" t="s">
        <v>39</v>
      </c>
      <c r="J303" t="s">
        <v>49</v>
      </c>
      <c r="K303" s="2" t="s">
        <v>350</v>
      </c>
      <c r="L303" t="s">
        <v>66</v>
      </c>
      <c r="M303" t="s">
        <v>51</v>
      </c>
      <c r="N303" t="s">
        <v>31</v>
      </c>
      <c r="O303">
        <v>5</v>
      </c>
      <c r="P303" t="s">
        <v>53</v>
      </c>
      <c r="Q303">
        <v>11</v>
      </c>
      <c r="R303" s="15">
        <v>227723</v>
      </c>
      <c r="S303" s="15">
        <v>1098000</v>
      </c>
      <c r="T303" s="16">
        <v>6970277</v>
      </c>
      <c r="U303" t="str">
        <f t="shared" si="8"/>
        <v>no</v>
      </c>
      <c r="V303" t="str">
        <f t="shared" si="9"/>
        <v>standard</v>
      </c>
    </row>
    <row r="304" spans="1:22" x14ac:dyDescent="0.3">
      <c r="A304">
        <v>1303</v>
      </c>
      <c r="B304" t="s">
        <v>33</v>
      </c>
      <c r="C304" t="s">
        <v>21</v>
      </c>
      <c r="D304">
        <v>38</v>
      </c>
      <c r="E304" t="s">
        <v>82</v>
      </c>
      <c r="F304" t="s">
        <v>23</v>
      </c>
      <c r="G304" t="s">
        <v>105</v>
      </c>
      <c r="H304" t="s">
        <v>106</v>
      </c>
      <c r="I304" t="s">
        <v>97</v>
      </c>
      <c r="J304" t="s">
        <v>40</v>
      </c>
      <c r="K304" s="2" t="s">
        <v>351</v>
      </c>
      <c r="L304" t="s">
        <v>29</v>
      </c>
      <c r="M304" t="s">
        <v>43</v>
      </c>
      <c r="N304" t="s">
        <v>52</v>
      </c>
      <c r="O304">
        <v>2</v>
      </c>
      <c r="P304" t="s">
        <v>86</v>
      </c>
      <c r="Q304">
        <v>7</v>
      </c>
      <c r="R304" s="15">
        <v>183977</v>
      </c>
      <c r="S304" s="15">
        <v>1098000</v>
      </c>
      <c r="T304" s="16">
        <v>7014023</v>
      </c>
      <c r="U304" t="str">
        <f t="shared" si="8"/>
        <v>no</v>
      </c>
      <c r="V304" t="str">
        <f t="shared" si="9"/>
        <v>standard</v>
      </c>
    </row>
    <row r="305" spans="1:22" x14ac:dyDescent="0.3">
      <c r="A305">
        <v>1304</v>
      </c>
      <c r="B305" t="s">
        <v>79</v>
      </c>
      <c r="C305" t="s">
        <v>34</v>
      </c>
      <c r="D305">
        <v>29</v>
      </c>
      <c r="E305" t="s">
        <v>82</v>
      </c>
      <c r="F305" t="s">
        <v>36</v>
      </c>
      <c r="G305" t="s">
        <v>37</v>
      </c>
      <c r="H305" t="s">
        <v>38</v>
      </c>
      <c r="I305" t="s">
        <v>97</v>
      </c>
      <c r="J305" t="s">
        <v>87</v>
      </c>
      <c r="K305" s="2" t="s">
        <v>338</v>
      </c>
      <c r="L305" t="s">
        <v>66</v>
      </c>
      <c r="M305" t="s">
        <v>43</v>
      </c>
      <c r="N305" t="s">
        <v>52</v>
      </c>
      <c r="O305">
        <v>2</v>
      </c>
      <c r="P305" t="s">
        <v>32</v>
      </c>
      <c r="Q305">
        <v>22</v>
      </c>
      <c r="R305" s="15">
        <v>110317</v>
      </c>
      <c r="S305" s="15">
        <v>1098000</v>
      </c>
      <c r="T305" s="16">
        <v>7087683</v>
      </c>
      <c r="U305" t="str">
        <f t="shared" si="8"/>
        <v>no</v>
      </c>
      <c r="V305" t="str">
        <f t="shared" si="9"/>
        <v>standard</v>
      </c>
    </row>
    <row r="306" spans="1:22" x14ac:dyDescent="0.3">
      <c r="A306">
        <v>1305</v>
      </c>
      <c r="B306" t="s">
        <v>60</v>
      </c>
      <c r="C306" t="s">
        <v>21</v>
      </c>
      <c r="D306">
        <v>41</v>
      </c>
      <c r="E306" t="s">
        <v>61</v>
      </c>
      <c r="F306" t="s">
        <v>36</v>
      </c>
      <c r="G306" t="s">
        <v>105</v>
      </c>
      <c r="H306" t="s">
        <v>106</v>
      </c>
      <c r="I306" t="s">
        <v>48</v>
      </c>
      <c r="J306" t="s">
        <v>49</v>
      </c>
      <c r="K306" s="2" t="s">
        <v>338</v>
      </c>
      <c r="L306" t="s">
        <v>42</v>
      </c>
      <c r="M306" t="s">
        <v>43</v>
      </c>
      <c r="N306" t="s">
        <v>52</v>
      </c>
      <c r="O306">
        <v>2</v>
      </c>
      <c r="P306" t="s">
        <v>32</v>
      </c>
      <c r="Q306">
        <v>9</v>
      </c>
      <c r="R306" s="15">
        <v>190470</v>
      </c>
      <c r="S306" s="15">
        <v>2250000</v>
      </c>
      <c r="T306" s="16">
        <v>14559530</v>
      </c>
      <c r="U306" t="str">
        <f t="shared" si="8"/>
        <v>no</v>
      </c>
      <c r="V306" t="str">
        <f t="shared" si="9"/>
        <v>premium</v>
      </c>
    </row>
    <row r="307" spans="1:22" x14ac:dyDescent="0.3">
      <c r="A307">
        <v>1306</v>
      </c>
      <c r="B307" t="s">
        <v>95</v>
      </c>
      <c r="C307" t="s">
        <v>21</v>
      </c>
      <c r="D307">
        <v>54</v>
      </c>
      <c r="E307" t="s">
        <v>22</v>
      </c>
      <c r="F307" t="s">
        <v>23</v>
      </c>
      <c r="G307" t="s">
        <v>105</v>
      </c>
      <c r="H307" t="s">
        <v>106</v>
      </c>
      <c r="I307" t="s">
        <v>26</v>
      </c>
      <c r="J307" t="s">
        <v>87</v>
      </c>
      <c r="K307" s="2" t="s">
        <v>352</v>
      </c>
      <c r="L307" t="s">
        <v>29</v>
      </c>
      <c r="M307" t="s">
        <v>78</v>
      </c>
      <c r="N307" t="s">
        <v>31</v>
      </c>
      <c r="O307">
        <v>5</v>
      </c>
      <c r="P307" t="s">
        <v>53</v>
      </c>
      <c r="Q307">
        <v>20</v>
      </c>
      <c r="R307" s="15">
        <v>298120</v>
      </c>
      <c r="S307" s="15">
        <v>756000</v>
      </c>
      <c r="T307" s="16">
        <v>4657880</v>
      </c>
      <c r="U307" t="str">
        <f t="shared" si="8"/>
        <v>no</v>
      </c>
      <c r="V307" t="str">
        <f t="shared" si="9"/>
        <v>standard</v>
      </c>
    </row>
    <row r="308" spans="1:22" x14ac:dyDescent="0.3">
      <c r="A308">
        <v>1307</v>
      </c>
      <c r="B308" t="s">
        <v>20</v>
      </c>
      <c r="C308" t="s">
        <v>21</v>
      </c>
      <c r="D308">
        <v>49</v>
      </c>
      <c r="E308" t="s">
        <v>118</v>
      </c>
      <c r="F308" t="s">
        <v>23</v>
      </c>
      <c r="G308" t="s">
        <v>56</v>
      </c>
      <c r="H308" t="s">
        <v>57</v>
      </c>
      <c r="I308" t="s">
        <v>26</v>
      </c>
      <c r="J308" t="s">
        <v>87</v>
      </c>
      <c r="K308" s="2" t="s">
        <v>333</v>
      </c>
      <c r="L308" t="s">
        <v>29</v>
      </c>
      <c r="M308" t="s">
        <v>78</v>
      </c>
      <c r="N308" t="s">
        <v>52</v>
      </c>
      <c r="O308">
        <v>3</v>
      </c>
      <c r="P308" t="s">
        <v>86</v>
      </c>
      <c r="Q308">
        <v>9</v>
      </c>
      <c r="R308" s="15">
        <v>189708</v>
      </c>
      <c r="S308" s="15">
        <v>1350000</v>
      </c>
      <c r="T308" s="16">
        <v>8660292</v>
      </c>
      <c r="U308" t="str">
        <f t="shared" si="8"/>
        <v>no</v>
      </c>
      <c r="V308" t="str">
        <f t="shared" si="9"/>
        <v>standard</v>
      </c>
    </row>
    <row r="309" spans="1:22" x14ac:dyDescent="0.3">
      <c r="A309">
        <v>1308</v>
      </c>
      <c r="B309" t="s">
        <v>99</v>
      </c>
      <c r="C309" t="s">
        <v>34</v>
      </c>
      <c r="D309">
        <v>50</v>
      </c>
      <c r="E309" t="s">
        <v>46</v>
      </c>
      <c r="F309" t="s">
        <v>23</v>
      </c>
      <c r="G309" t="s">
        <v>56</v>
      </c>
      <c r="H309" t="s">
        <v>57</v>
      </c>
      <c r="I309" t="s">
        <v>26</v>
      </c>
      <c r="J309" t="s">
        <v>49</v>
      </c>
      <c r="K309" s="2" t="s">
        <v>353</v>
      </c>
      <c r="L309" t="s">
        <v>66</v>
      </c>
      <c r="M309" t="s">
        <v>94</v>
      </c>
      <c r="N309" t="s">
        <v>31</v>
      </c>
      <c r="O309">
        <v>4</v>
      </c>
      <c r="P309" t="s">
        <v>86</v>
      </c>
      <c r="Q309">
        <v>19</v>
      </c>
      <c r="R309" s="15">
        <v>125135</v>
      </c>
      <c r="S309" s="15">
        <v>5760000</v>
      </c>
      <c r="T309" s="16">
        <v>37634865</v>
      </c>
      <c r="U309" t="str">
        <f t="shared" si="8"/>
        <v>yes</v>
      </c>
      <c r="V309" t="str">
        <f t="shared" si="9"/>
        <v>ultra premium</v>
      </c>
    </row>
    <row r="310" spans="1:22" x14ac:dyDescent="0.3">
      <c r="A310">
        <v>1309</v>
      </c>
      <c r="B310" t="s">
        <v>104</v>
      </c>
      <c r="C310" t="s">
        <v>34</v>
      </c>
      <c r="D310">
        <v>33</v>
      </c>
      <c r="E310" t="s">
        <v>118</v>
      </c>
      <c r="F310" t="s">
        <v>62</v>
      </c>
      <c r="G310" t="s">
        <v>74</v>
      </c>
      <c r="H310" t="s">
        <v>75</v>
      </c>
      <c r="I310" t="s">
        <v>26</v>
      </c>
      <c r="J310" t="s">
        <v>27</v>
      </c>
      <c r="K310" s="2" t="s">
        <v>354</v>
      </c>
      <c r="L310" t="s">
        <v>71</v>
      </c>
      <c r="M310" t="s">
        <v>43</v>
      </c>
      <c r="N310" t="s">
        <v>31</v>
      </c>
      <c r="O310">
        <v>3</v>
      </c>
      <c r="P310" t="s">
        <v>32</v>
      </c>
      <c r="Q310">
        <v>21</v>
      </c>
      <c r="R310" s="15">
        <v>176100</v>
      </c>
      <c r="S310" s="15">
        <v>1350000</v>
      </c>
      <c r="T310" s="16">
        <v>8673900</v>
      </c>
      <c r="U310" t="str">
        <f t="shared" si="8"/>
        <v>no</v>
      </c>
      <c r="V310" t="str">
        <f t="shared" si="9"/>
        <v>standard</v>
      </c>
    </row>
    <row r="311" spans="1:22" x14ac:dyDescent="0.3">
      <c r="A311">
        <v>1310</v>
      </c>
      <c r="B311" t="s">
        <v>20</v>
      </c>
      <c r="C311" t="s">
        <v>34</v>
      </c>
      <c r="D311">
        <v>31</v>
      </c>
      <c r="E311" t="s">
        <v>118</v>
      </c>
      <c r="F311" t="s">
        <v>23</v>
      </c>
      <c r="G311" t="s">
        <v>63</v>
      </c>
      <c r="H311" t="s">
        <v>64</v>
      </c>
      <c r="I311" t="s">
        <v>39</v>
      </c>
      <c r="J311" t="s">
        <v>49</v>
      </c>
      <c r="K311" s="2" t="s">
        <v>206</v>
      </c>
      <c r="L311" t="s">
        <v>42</v>
      </c>
      <c r="M311" t="s">
        <v>51</v>
      </c>
      <c r="N311" t="s">
        <v>52</v>
      </c>
      <c r="O311">
        <v>2</v>
      </c>
      <c r="P311" t="s">
        <v>53</v>
      </c>
      <c r="Q311">
        <v>25</v>
      </c>
      <c r="R311" s="15">
        <v>57020</v>
      </c>
      <c r="S311" s="15">
        <v>1350000</v>
      </c>
      <c r="T311" s="16">
        <v>8792980</v>
      </c>
      <c r="U311" t="str">
        <f t="shared" si="8"/>
        <v>no</v>
      </c>
      <c r="V311" t="str">
        <f t="shared" si="9"/>
        <v>standard</v>
      </c>
    </row>
    <row r="312" spans="1:22" x14ac:dyDescent="0.3">
      <c r="A312">
        <v>1311</v>
      </c>
      <c r="B312" t="s">
        <v>72</v>
      </c>
      <c r="C312" t="s">
        <v>34</v>
      </c>
      <c r="D312">
        <v>50</v>
      </c>
      <c r="E312" t="s">
        <v>90</v>
      </c>
      <c r="F312" t="s">
        <v>55</v>
      </c>
      <c r="G312" t="s">
        <v>69</v>
      </c>
      <c r="H312" t="s">
        <v>69</v>
      </c>
      <c r="I312" t="s">
        <v>26</v>
      </c>
      <c r="J312" t="s">
        <v>40</v>
      </c>
      <c r="K312" s="2" t="s">
        <v>355</v>
      </c>
      <c r="L312" t="s">
        <v>71</v>
      </c>
      <c r="M312" t="s">
        <v>78</v>
      </c>
      <c r="N312" t="s">
        <v>31</v>
      </c>
      <c r="O312">
        <v>3</v>
      </c>
      <c r="P312" t="s">
        <v>86</v>
      </c>
      <c r="Q312">
        <v>22</v>
      </c>
      <c r="R312" s="15">
        <v>235229</v>
      </c>
      <c r="S312" s="15">
        <v>702000</v>
      </c>
      <c r="T312" s="16">
        <v>4366771</v>
      </c>
      <c r="U312" t="str">
        <f t="shared" si="8"/>
        <v>no</v>
      </c>
      <c r="V312" t="str">
        <f t="shared" si="9"/>
        <v>budget</v>
      </c>
    </row>
    <row r="313" spans="1:22" x14ac:dyDescent="0.3">
      <c r="A313">
        <v>1312</v>
      </c>
      <c r="B313" t="s">
        <v>33</v>
      </c>
      <c r="C313" t="s">
        <v>21</v>
      </c>
      <c r="D313">
        <v>59</v>
      </c>
      <c r="E313" t="s">
        <v>112</v>
      </c>
      <c r="F313" t="s">
        <v>23</v>
      </c>
      <c r="G313" t="s">
        <v>91</v>
      </c>
      <c r="H313" t="s">
        <v>25</v>
      </c>
      <c r="I313" t="s">
        <v>39</v>
      </c>
      <c r="J313" t="s">
        <v>40</v>
      </c>
      <c r="K313" s="2" t="s">
        <v>356</v>
      </c>
      <c r="L313" t="s">
        <v>42</v>
      </c>
      <c r="M313" t="s">
        <v>51</v>
      </c>
      <c r="N313" t="s">
        <v>31</v>
      </c>
      <c r="O313">
        <v>2</v>
      </c>
      <c r="P313" t="s">
        <v>53</v>
      </c>
      <c r="Q313">
        <v>5</v>
      </c>
      <c r="R313" s="15">
        <v>260846</v>
      </c>
      <c r="S313" s="15">
        <v>936000</v>
      </c>
      <c r="T313" s="16">
        <v>5875154</v>
      </c>
      <c r="U313" t="str">
        <f t="shared" si="8"/>
        <v>no</v>
      </c>
      <c r="V313" t="str">
        <f t="shared" si="9"/>
        <v>standard</v>
      </c>
    </row>
    <row r="314" spans="1:22" x14ac:dyDescent="0.3">
      <c r="A314">
        <v>1313</v>
      </c>
      <c r="B314" t="s">
        <v>81</v>
      </c>
      <c r="C314" t="s">
        <v>34</v>
      </c>
      <c r="D314">
        <v>52</v>
      </c>
      <c r="E314" t="s">
        <v>82</v>
      </c>
      <c r="F314" t="s">
        <v>36</v>
      </c>
      <c r="G314" t="s">
        <v>47</v>
      </c>
      <c r="H314" t="s">
        <v>25</v>
      </c>
      <c r="I314" t="s">
        <v>97</v>
      </c>
      <c r="J314" t="s">
        <v>27</v>
      </c>
      <c r="K314" s="2" t="s">
        <v>357</v>
      </c>
      <c r="L314" t="s">
        <v>42</v>
      </c>
      <c r="M314" t="s">
        <v>51</v>
      </c>
      <c r="N314" t="s">
        <v>31</v>
      </c>
      <c r="O314">
        <v>3</v>
      </c>
      <c r="P314" t="s">
        <v>53</v>
      </c>
      <c r="Q314">
        <v>7</v>
      </c>
      <c r="R314" s="15">
        <v>179427</v>
      </c>
      <c r="S314" s="15">
        <v>1098000</v>
      </c>
      <c r="T314" s="16">
        <v>7018573</v>
      </c>
      <c r="U314" t="str">
        <f t="shared" si="8"/>
        <v>no</v>
      </c>
      <c r="V314" t="str">
        <f t="shared" si="9"/>
        <v>standard</v>
      </c>
    </row>
    <row r="315" spans="1:22" x14ac:dyDescent="0.3">
      <c r="A315">
        <v>1314</v>
      </c>
      <c r="B315" t="s">
        <v>95</v>
      </c>
      <c r="C315" t="s">
        <v>21</v>
      </c>
      <c r="D315">
        <v>46</v>
      </c>
      <c r="E315" t="s">
        <v>73</v>
      </c>
      <c r="F315" t="s">
        <v>23</v>
      </c>
      <c r="G315" t="s">
        <v>63</v>
      </c>
      <c r="H315" t="s">
        <v>64</v>
      </c>
      <c r="I315" t="s">
        <v>39</v>
      </c>
      <c r="J315" t="s">
        <v>27</v>
      </c>
      <c r="K315" s="2" t="s">
        <v>358</v>
      </c>
      <c r="L315" t="s">
        <v>71</v>
      </c>
      <c r="M315" t="s">
        <v>51</v>
      </c>
      <c r="N315" t="s">
        <v>31</v>
      </c>
      <c r="O315">
        <v>3</v>
      </c>
      <c r="P315" t="s">
        <v>32</v>
      </c>
      <c r="Q315">
        <v>5</v>
      </c>
      <c r="R315" s="15">
        <v>79754</v>
      </c>
      <c r="S315" s="15">
        <v>1224000</v>
      </c>
      <c r="T315" s="16">
        <v>7944246</v>
      </c>
      <c r="U315" t="str">
        <f t="shared" si="8"/>
        <v>no</v>
      </c>
      <c r="V315" t="str">
        <f t="shared" si="9"/>
        <v>standard</v>
      </c>
    </row>
    <row r="316" spans="1:22" x14ac:dyDescent="0.3">
      <c r="A316">
        <v>1315</v>
      </c>
      <c r="B316" t="s">
        <v>104</v>
      </c>
      <c r="C316" t="s">
        <v>21</v>
      </c>
      <c r="D316">
        <v>49</v>
      </c>
      <c r="E316" t="s">
        <v>22</v>
      </c>
      <c r="F316" t="s">
        <v>55</v>
      </c>
      <c r="G316" t="s">
        <v>115</v>
      </c>
      <c r="H316" t="s">
        <v>106</v>
      </c>
      <c r="I316" t="s">
        <v>48</v>
      </c>
      <c r="J316" t="s">
        <v>49</v>
      </c>
      <c r="K316" s="2" t="s">
        <v>359</v>
      </c>
      <c r="L316" t="s">
        <v>71</v>
      </c>
      <c r="M316" t="s">
        <v>94</v>
      </c>
      <c r="N316" t="s">
        <v>31</v>
      </c>
      <c r="O316">
        <v>4</v>
      </c>
      <c r="P316" t="s">
        <v>53</v>
      </c>
      <c r="Q316">
        <v>22</v>
      </c>
      <c r="R316" s="15">
        <v>155517</v>
      </c>
      <c r="S316" s="15">
        <v>756000</v>
      </c>
      <c r="T316" s="16">
        <v>4800483</v>
      </c>
      <c r="U316" t="str">
        <f t="shared" si="8"/>
        <v>no</v>
      </c>
      <c r="V316" t="str">
        <f t="shared" si="9"/>
        <v>standard</v>
      </c>
    </row>
    <row r="317" spans="1:22" x14ac:dyDescent="0.3">
      <c r="A317">
        <v>1316</v>
      </c>
      <c r="B317" t="s">
        <v>45</v>
      </c>
      <c r="C317" t="s">
        <v>34</v>
      </c>
      <c r="D317">
        <v>38</v>
      </c>
      <c r="E317" t="s">
        <v>22</v>
      </c>
      <c r="F317" t="s">
        <v>55</v>
      </c>
      <c r="G317" t="s">
        <v>91</v>
      </c>
      <c r="H317" t="s">
        <v>25</v>
      </c>
      <c r="I317" t="s">
        <v>26</v>
      </c>
      <c r="J317" t="s">
        <v>27</v>
      </c>
      <c r="K317" s="2" t="s">
        <v>356</v>
      </c>
      <c r="L317" t="s">
        <v>29</v>
      </c>
      <c r="M317" t="s">
        <v>43</v>
      </c>
      <c r="N317" t="s">
        <v>31</v>
      </c>
      <c r="O317">
        <v>2</v>
      </c>
      <c r="P317" t="s">
        <v>44</v>
      </c>
      <c r="Q317">
        <v>7</v>
      </c>
      <c r="R317" s="15">
        <v>219721</v>
      </c>
      <c r="S317" s="15">
        <v>756000</v>
      </c>
      <c r="T317" s="16">
        <v>4736279</v>
      </c>
      <c r="U317" t="str">
        <f t="shared" si="8"/>
        <v>no</v>
      </c>
      <c r="V317" t="str">
        <f t="shared" si="9"/>
        <v>standard</v>
      </c>
    </row>
    <row r="318" spans="1:22" x14ac:dyDescent="0.3">
      <c r="A318">
        <v>1317</v>
      </c>
      <c r="B318" t="s">
        <v>108</v>
      </c>
      <c r="C318" t="s">
        <v>34</v>
      </c>
      <c r="D318">
        <v>45</v>
      </c>
      <c r="E318" t="s">
        <v>46</v>
      </c>
      <c r="F318" t="s">
        <v>36</v>
      </c>
      <c r="G318" t="s">
        <v>91</v>
      </c>
      <c r="H318" t="s">
        <v>25</v>
      </c>
      <c r="I318" t="s">
        <v>97</v>
      </c>
      <c r="J318" t="s">
        <v>87</v>
      </c>
      <c r="K318" s="2" t="s">
        <v>360</v>
      </c>
      <c r="L318" t="s">
        <v>66</v>
      </c>
      <c r="M318" t="s">
        <v>43</v>
      </c>
      <c r="N318" t="s">
        <v>52</v>
      </c>
      <c r="O318">
        <v>2</v>
      </c>
      <c r="P318" t="s">
        <v>86</v>
      </c>
      <c r="Q318">
        <v>13</v>
      </c>
      <c r="R318" s="15">
        <v>164414</v>
      </c>
      <c r="S318" s="15">
        <v>5760000</v>
      </c>
      <c r="T318" s="16">
        <v>37595586</v>
      </c>
      <c r="U318" t="str">
        <f t="shared" si="8"/>
        <v>yes</v>
      </c>
      <c r="V318" t="str">
        <f t="shared" si="9"/>
        <v>ultra premium</v>
      </c>
    </row>
    <row r="319" spans="1:22" x14ac:dyDescent="0.3">
      <c r="A319">
        <v>1318</v>
      </c>
      <c r="B319" t="s">
        <v>79</v>
      </c>
      <c r="C319" t="s">
        <v>21</v>
      </c>
      <c r="D319">
        <v>44</v>
      </c>
      <c r="E319" t="s">
        <v>46</v>
      </c>
      <c r="F319" t="s">
        <v>36</v>
      </c>
      <c r="G319" t="s">
        <v>47</v>
      </c>
      <c r="H319" t="s">
        <v>25</v>
      </c>
      <c r="I319" t="s">
        <v>39</v>
      </c>
      <c r="J319" t="s">
        <v>27</v>
      </c>
      <c r="K319" s="2" t="s">
        <v>233</v>
      </c>
      <c r="L319" t="s">
        <v>59</v>
      </c>
      <c r="M319" t="s">
        <v>78</v>
      </c>
      <c r="N319" t="s">
        <v>52</v>
      </c>
      <c r="O319">
        <v>2</v>
      </c>
      <c r="P319" t="s">
        <v>86</v>
      </c>
      <c r="Q319">
        <v>20</v>
      </c>
      <c r="R319" s="15">
        <v>156838</v>
      </c>
      <c r="S319" s="15">
        <v>5760000</v>
      </c>
      <c r="T319" s="16">
        <v>37603162</v>
      </c>
      <c r="U319" t="str">
        <f t="shared" si="8"/>
        <v>yes</v>
      </c>
      <c r="V319" t="str">
        <f t="shared" si="9"/>
        <v>ultra premium</v>
      </c>
    </row>
    <row r="320" spans="1:22" x14ac:dyDescent="0.3">
      <c r="A320">
        <v>1319</v>
      </c>
      <c r="B320" t="s">
        <v>79</v>
      </c>
      <c r="C320" t="s">
        <v>21</v>
      </c>
      <c r="D320">
        <v>29</v>
      </c>
      <c r="E320" t="s">
        <v>22</v>
      </c>
      <c r="F320" t="s">
        <v>23</v>
      </c>
      <c r="G320" t="s">
        <v>63</v>
      </c>
      <c r="H320" t="s">
        <v>64</v>
      </c>
      <c r="I320" t="s">
        <v>76</v>
      </c>
      <c r="J320" t="s">
        <v>49</v>
      </c>
      <c r="K320" s="2" t="s">
        <v>361</v>
      </c>
      <c r="L320" t="s">
        <v>42</v>
      </c>
      <c r="M320" t="s">
        <v>43</v>
      </c>
      <c r="N320" t="s">
        <v>52</v>
      </c>
      <c r="O320">
        <v>5</v>
      </c>
      <c r="P320" t="s">
        <v>86</v>
      </c>
      <c r="Q320">
        <v>15</v>
      </c>
      <c r="R320" s="15">
        <v>129788</v>
      </c>
      <c r="S320" s="15">
        <v>756000</v>
      </c>
      <c r="T320" s="16">
        <v>4826212</v>
      </c>
      <c r="U320" t="str">
        <f t="shared" si="8"/>
        <v>no</v>
      </c>
      <c r="V320" t="str">
        <f t="shared" si="9"/>
        <v>standard</v>
      </c>
    </row>
    <row r="321" spans="1:22" x14ac:dyDescent="0.3">
      <c r="A321">
        <v>1320</v>
      </c>
      <c r="B321" t="s">
        <v>104</v>
      </c>
      <c r="C321" t="s">
        <v>34</v>
      </c>
      <c r="D321">
        <v>34</v>
      </c>
      <c r="E321" t="s">
        <v>90</v>
      </c>
      <c r="F321" t="s">
        <v>62</v>
      </c>
      <c r="G321" t="s">
        <v>24</v>
      </c>
      <c r="H321" t="s">
        <v>25</v>
      </c>
      <c r="I321" t="s">
        <v>76</v>
      </c>
      <c r="J321" t="s">
        <v>40</v>
      </c>
      <c r="K321" s="2" t="s">
        <v>230</v>
      </c>
      <c r="L321" t="s">
        <v>42</v>
      </c>
      <c r="M321" t="s">
        <v>43</v>
      </c>
      <c r="N321" t="s">
        <v>52</v>
      </c>
      <c r="O321">
        <v>4</v>
      </c>
      <c r="P321" t="s">
        <v>86</v>
      </c>
      <c r="Q321">
        <v>21</v>
      </c>
      <c r="R321" s="15">
        <v>286839</v>
      </c>
      <c r="S321" s="15">
        <v>702000</v>
      </c>
      <c r="T321" s="16">
        <v>4315161</v>
      </c>
      <c r="U321" t="str">
        <f t="shared" si="8"/>
        <v>no</v>
      </c>
      <c r="V321" t="str">
        <f t="shared" si="9"/>
        <v>budget</v>
      </c>
    </row>
    <row r="322" spans="1:22" x14ac:dyDescent="0.3">
      <c r="A322">
        <v>1321</v>
      </c>
      <c r="B322" t="s">
        <v>114</v>
      </c>
      <c r="C322" t="s">
        <v>34</v>
      </c>
      <c r="D322">
        <v>30</v>
      </c>
      <c r="E322" t="s">
        <v>118</v>
      </c>
      <c r="F322" t="s">
        <v>36</v>
      </c>
      <c r="G322" t="s">
        <v>105</v>
      </c>
      <c r="H322" t="s">
        <v>106</v>
      </c>
      <c r="I322" t="s">
        <v>26</v>
      </c>
      <c r="J322" t="s">
        <v>27</v>
      </c>
      <c r="K322" s="2" t="s">
        <v>362</v>
      </c>
      <c r="L322" t="s">
        <v>29</v>
      </c>
      <c r="M322" t="s">
        <v>78</v>
      </c>
      <c r="N322" t="s">
        <v>52</v>
      </c>
      <c r="O322">
        <v>4</v>
      </c>
      <c r="P322" t="s">
        <v>53</v>
      </c>
      <c r="Q322">
        <v>7</v>
      </c>
      <c r="R322" s="15">
        <v>211194</v>
      </c>
      <c r="S322" s="15">
        <v>1350000</v>
      </c>
      <c r="T322" s="16">
        <v>8638806</v>
      </c>
      <c r="U322" t="str">
        <f t="shared" si="8"/>
        <v>no</v>
      </c>
      <c r="V322" t="str">
        <f t="shared" si="9"/>
        <v>standard</v>
      </c>
    </row>
    <row r="323" spans="1:22" x14ac:dyDescent="0.3">
      <c r="A323">
        <v>1322</v>
      </c>
      <c r="B323" t="s">
        <v>99</v>
      </c>
      <c r="C323" t="s">
        <v>34</v>
      </c>
      <c r="D323">
        <v>58</v>
      </c>
      <c r="E323" t="s">
        <v>22</v>
      </c>
      <c r="F323" t="s">
        <v>36</v>
      </c>
      <c r="G323" t="s">
        <v>56</v>
      </c>
      <c r="H323" t="s">
        <v>57</v>
      </c>
      <c r="I323" t="s">
        <v>39</v>
      </c>
      <c r="J323" t="s">
        <v>87</v>
      </c>
      <c r="K323" s="2" t="s">
        <v>363</v>
      </c>
      <c r="L323" t="s">
        <v>29</v>
      </c>
      <c r="M323" t="s">
        <v>78</v>
      </c>
      <c r="N323" t="s">
        <v>31</v>
      </c>
      <c r="O323">
        <v>3</v>
      </c>
      <c r="P323" t="s">
        <v>44</v>
      </c>
      <c r="Q323">
        <v>6</v>
      </c>
      <c r="R323" s="15">
        <v>103722</v>
      </c>
      <c r="S323" s="15">
        <v>756000</v>
      </c>
      <c r="T323" s="16">
        <v>4852278</v>
      </c>
      <c r="U323" t="str">
        <f t="shared" ref="U323:U386" si="10">IF(OR(E323="AMG C43",E323="AMG G63"),"yes","no")</f>
        <v>no</v>
      </c>
      <c r="V323" t="str">
        <f t="shared" ref="V323:V386" si="11">IF(T323&gt;=20000000,"ultra premium",IF(T323&gt;=10000000,"premium",IF(T323&gt;=4500000,"standard","budget")))</f>
        <v>standard</v>
      </c>
    </row>
    <row r="324" spans="1:22" x14ac:dyDescent="0.3">
      <c r="A324">
        <v>1323</v>
      </c>
      <c r="B324" t="s">
        <v>95</v>
      </c>
      <c r="C324" t="s">
        <v>21</v>
      </c>
      <c r="D324">
        <v>43</v>
      </c>
      <c r="E324" t="s">
        <v>68</v>
      </c>
      <c r="F324" t="s">
        <v>23</v>
      </c>
      <c r="G324" t="s">
        <v>56</v>
      </c>
      <c r="H324" t="s">
        <v>57</v>
      </c>
      <c r="I324" t="s">
        <v>76</v>
      </c>
      <c r="J324" t="s">
        <v>40</v>
      </c>
      <c r="K324" s="2" t="s">
        <v>364</v>
      </c>
      <c r="L324" t="s">
        <v>66</v>
      </c>
      <c r="M324" t="s">
        <v>43</v>
      </c>
      <c r="N324" t="s">
        <v>31</v>
      </c>
      <c r="O324">
        <v>3</v>
      </c>
      <c r="P324" t="s">
        <v>44</v>
      </c>
      <c r="Q324">
        <v>10</v>
      </c>
      <c r="R324" s="15">
        <v>115620</v>
      </c>
      <c r="S324" s="15">
        <v>846000</v>
      </c>
      <c r="T324" s="16">
        <v>5430380</v>
      </c>
      <c r="U324" t="str">
        <f t="shared" si="10"/>
        <v>no</v>
      </c>
      <c r="V324" t="str">
        <f t="shared" si="11"/>
        <v>standard</v>
      </c>
    </row>
    <row r="325" spans="1:22" x14ac:dyDescent="0.3">
      <c r="A325">
        <v>1324</v>
      </c>
      <c r="B325" t="s">
        <v>79</v>
      </c>
      <c r="C325" t="s">
        <v>21</v>
      </c>
      <c r="D325">
        <v>30</v>
      </c>
      <c r="E325" t="s">
        <v>118</v>
      </c>
      <c r="F325" t="s">
        <v>62</v>
      </c>
      <c r="G325" t="s">
        <v>47</v>
      </c>
      <c r="H325" t="s">
        <v>25</v>
      </c>
      <c r="I325" t="s">
        <v>26</v>
      </c>
      <c r="J325" t="s">
        <v>87</v>
      </c>
      <c r="K325" s="2" t="s">
        <v>365</v>
      </c>
      <c r="L325" t="s">
        <v>42</v>
      </c>
      <c r="M325" t="s">
        <v>51</v>
      </c>
      <c r="N325" t="s">
        <v>31</v>
      </c>
      <c r="O325">
        <v>3</v>
      </c>
      <c r="P325" t="s">
        <v>86</v>
      </c>
      <c r="Q325">
        <v>24</v>
      </c>
      <c r="R325" s="15">
        <v>158308</v>
      </c>
      <c r="S325" s="15">
        <v>1350000</v>
      </c>
      <c r="T325" s="16">
        <v>8691692</v>
      </c>
      <c r="U325" t="str">
        <f t="shared" si="10"/>
        <v>no</v>
      </c>
      <c r="V325" t="str">
        <f t="shared" si="11"/>
        <v>standard</v>
      </c>
    </row>
    <row r="326" spans="1:22" x14ac:dyDescent="0.3">
      <c r="A326">
        <v>1325</v>
      </c>
      <c r="B326" t="s">
        <v>67</v>
      </c>
      <c r="C326" t="s">
        <v>21</v>
      </c>
      <c r="D326">
        <v>59</v>
      </c>
      <c r="E326" t="s">
        <v>118</v>
      </c>
      <c r="F326" t="s">
        <v>36</v>
      </c>
      <c r="G326" t="s">
        <v>47</v>
      </c>
      <c r="H326" t="s">
        <v>25</v>
      </c>
      <c r="I326" t="s">
        <v>76</v>
      </c>
      <c r="J326" t="s">
        <v>27</v>
      </c>
      <c r="K326" s="2" t="s">
        <v>366</v>
      </c>
      <c r="L326" t="s">
        <v>71</v>
      </c>
      <c r="M326" t="s">
        <v>30</v>
      </c>
      <c r="N326" t="s">
        <v>52</v>
      </c>
      <c r="O326">
        <v>3</v>
      </c>
      <c r="P326" t="s">
        <v>53</v>
      </c>
      <c r="Q326">
        <v>9</v>
      </c>
      <c r="R326" s="15">
        <v>82215</v>
      </c>
      <c r="S326" s="15">
        <v>1350000</v>
      </c>
      <c r="T326" s="16">
        <v>8767785</v>
      </c>
      <c r="U326" t="str">
        <f t="shared" si="10"/>
        <v>no</v>
      </c>
      <c r="V326" t="str">
        <f t="shared" si="11"/>
        <v>standard</v>
      </c>
    </row>
    <row r="327" spans="1:22" x14ac:dyDescent="0.3">
      <c r="A327">
        <v>1326</v>
      </c>
      <c r="B327" t="s">
        <v>45</v>
      </c>
      <c r="C327" t="s">
        <v>34</v>
      </c>
      <c r="D327">
        <v>42</v>
      </c>
      <c r="E327" t="s">
        <v>46</v>
      </c>
      <c r="F327" t="s">
        <v>23</v>
      </c>
      <c r="G327" t="s">
        <v>24</v>
      </c>
      <c r="H327" t="s">
        <v>25</v>
      </c>
      <c r="I327" t="s">
        <v>26</v>
      </c>
      <c r="J327" t="s">
        <v>40</v>
      </c>
      <c r="K327" s="2" t="s">
        <v>367</v>
      </c>
      <c r="L327" t="s">
        <v>29</v>
      </c>
      <c r="M327" t="s">
        <v>30</v>
      </c>
      <c r="N327" t="s">
        <v>31</v>
      </c>
      <c r="O327">
        <v>4</v>
      </c>
      <c r="P327" t="s">
        <v>53</v>
      </c>
      <c r="Q327">
        <v>24</v>
      </c>
      <c r="R327" s="15">
        <v>114175</v>
      </c>
      <c r="S327" s="15">
        <v>5760000</v>
      </c>
      <c r="T327" s="16">
        <v>37645825</v>
      </c>
      <c r="U327" t="str">
        <f t="shared" si="10"/>
        <v>yes</v>
      </c>
      <c r="V327" t="str">
        <f t="shared" si="11"/>
        <v>ultra premium</v>
      </c>
    </row>
    <row r="328" spans="1:22" x14ac:dyDescent="0.3">
      <c r="A328">
        <v>1327</v>
      </c>
      <c r="B328" t="s">
        <v>20</v>
      </c>
      <c r="C328" t="s">
        <v>34</v>
      </c>
      <c r="D328">
        <v>39</v>
      </c>
      <c r="E328" t="s">
        <v>118</v>
      </c>
      <c r="F328" t="s">
        <v>36</v>
      </c>
      <c r="G328" t="s">
        <v>105</v>
      </c>
      <c r="H328" t="s">
        <v>106</v>
      </c>
      <c r="I328" t="s">
        <v>97</v>
      </c>
      <c r="J328" t="s">
        <v>87</v>
      </c>
      <c r="K328" s="2" t="s">
        <v>283</v>
      </c>
      <c r="L328" t="s">
        <v>59</v>
      </c>
      <c r="M328" t="s">
        <v>43</v>
      </c>
      <c r="N328" t="s">
        <v>31</v>
      </c>
      <c r="O328">
        <v>4</v>
      </c>
      <c r="P328" t="s">
        <v>32</v>
      </c>
      <c r="Q328">
        <v>15</v>
      </c>
      <c r="R328" s="15">
        <v>291916</v>
      </c>
      <c r="S328" s="15">
        <v>1350000</v>
      </c>
      <c r="T328" s="16">
        <v>8558084</v>
      </c>
      <c r="U328" t="str">
        <f t="shared" si="10"/>
        <v>no</v>
      </c>
      <c r="V328" t="str">
        <f t="shared" si="11"/>
        <v>standard</v>
      </c>
    </row>
    <row r="329" spans="1:22" x14ac:dyDescent="0.3">
      <c r="A329">
        <v>1328</v>
      </c>
      <c r="B329" t="s">
        <v>101</v>
      </c>
      <c r="C329" t="s">
        <v>21</v>
      </c>
      <c r="D329">
        <v>35</v>
      </c>
      <c r="E329" t="s">
        <v>112</v>
      </c>
      <c r="F329" t="s">
        <v>55</v>
      </c>
      <c r="G329" t="s">
        <v>56</v>
      </c>
      <c r="H329" t="s">
        <v>57</v>
      </c>
      <c r="I329" t="s">
        <v>97</v>
      </c>
      <c r="J329" t="s">
        <v>87</v>
      </c>
      <c r="K329" s="2" t="s">
        <v>368</v>
      </c>
      <c r="L329" t="s">
        <v>71</v>
      </c>
      <c r="M329" t="s">
        <v>30</v>
      </c>
      <c r="N329" t="s">
        <v>31</v>
      </c>
      <c r="O329">
        <v>2</v>
      </c>
      <c r="P329" t="s">
        <v>53</v>
      </c>
      <c r="Q329">
        <v>12</v>
      </c>
      <c r="R329" s="15">
        <v>242221</v>
      </c>
      <c r="S329" s="15">
        <v>936000</v>
      </c>
      <c r="T329" s="16">
        <v>5893779</v>
      </c>
      <c r="U329" t="str">
        <f t="shared" si="10"/>
        <v>no</v>
      </c>
      <c r="V329" t="str">
        <f t="shared" si="11"/>
        <v>standard</v>
      </c>
    </row>
    <row r="330" spans="1:22" x14ac:dyDescent="0.3">
      <c r="A330">
        <v>1329</v>
      </c>
      <c r="B330" t="s">
        <v>108</v>
      </c>
      <c r="C330" t="s">
        <v>34</v>
      </c>
      <c r="D330">
        <v>58</v>
      </c>
      <c r="E330" t="s">
        <v>61</v>
      </c>
      <c r="F330" t="s">
        <v>36</v>
      </c>
      <c r="G330" t="s">
        <v>37</v>
      </c>
      <c r="H330" t="s">
        <v>38</v>
      </c>
      <c r="I330" t="s">
        <v>48</v>
      </c>
      <c r="J330" t="s">
        <v>87</v>
      </c>
      <c r="K330" s="2" t="s">
        <v>369</v>
      </c>
      <c r="L330" t="s">
        <v>66</v>
      </c>
      <c r="M330" t="s">
        <v>94</v>
      </c>
      <c r="N330" t="s">
        <v>52</v>
      </c>
      <c r="O330">
        <v>4</v>
      </c>
      <c r="P330" t="s">
        <v>53</v>
      </c>
      <c r="Q330">
        <v>6</v>
      </c>
      <c r="R330" s="15">
        <v>273131</v>
      </c>
      <c r="S330" s="15">
        <v>2250000</v>
      </c>
      <c r="T330" s="16">
        <v>14476869</v>
      </c>
      <c r="U330" t="str">
        <f t="shared" si="10"/>
        <v>no</v>
      </c>
      <c r="V330" t="str">
        <f t="shared" si="11"/>
        <v>premium</v>
      </c>
    </row>
    <row r="331" spans="1:22" x14ac:dyDescent="0.3">
      <c r="A331">
        <v>1330</v>
      </c>
      <c r="B331" t="s">
        <v>79</v>
      </c>
      <c r="C331" t="s">
        <v>21</v>
      </c>
      <c r="D331">
        <v>37</v>
      </c>
      <c r="E331" t="s">
        <v>68</v>
      </c>
      <c r="F331" t="s">
        <v>23</v>
      </c>
      <c r="G331" t="s">
        <v>24</v>
      </c>
      <c r="H331" t="s">
        <v>25</v>
      </c>
      <c r="I331" t="s">
        <v>48</v>
      </c>
      <c r="J331" t="s">
        <v>49</v>
      </c>
      <c r="K331" s="2" t="s">
        <v>370</v>
      </c>
      <c r="L331" t="s">
        <v>29</v>
      </c>
      <c r="M331" t="s">
        <v>43</v>
      </c>
      <c r="N331" t="s">
        <v>31</v>
      </c>
      <c r="O331">
        <v>3</v>
      </c>
      <c r="P331" t="s">
        <v>44</v>
      </c>
      <c r="Q331">
        <v>10</v>
      </c>
      <c r="R331" s="15">
        <v>221711</v>
      </c>
      <c r="S331" s="15">
        <v>846000</v>
      </c>
      <c r="T331" s="16">
        <v>5324289</v>
      </c>
      <c r="U331" t="str">
        <f t="shared" si="10"/>
        <v>no</v>
      </c>
      <c r="V331" t="str">
        <f t="shared" si="11"/>
        <v>standard</v>
      </c>
    </row>
    <row r="332" spans="1:22" x14ac:dyDescent="0.3">
      <c r="A332">
        <v>1331</v>
      </c>
      <c r="B332" t="s">
        <v>81</v>
      </c>
      <c r="C332" t="s">
        <v>21</v>
      </c>
      <c r="D332">
        <v>40</v>
      </c>
      <c r="E332" t="s">
        <v>22</v>
      </c>
      <c r="F332" t="s">
        <v>36</v>
      </c>
      <c r="G332" t="s">
        <v>74</v>
      </c>
      <c r="H332" t="s">
        <v>75</v>
      </c>
      <c r="I332" t="s">
        <v>39</v>
      </c>
      <c r="J332" t="s">
        <v>40</v>
      </c>
      <c r="K332" s="2" t="s">
        <v>371</v>
      </c>
      <c r="L332" t="s">
        <v>59</v>
      </c>
      <c r="M332" t="s">
        <v>94</v>
      </c>
      <c r="N332" t="s">
        <v>52</v>
      </c>
      <c r="O332">
        <v>4</v>
      </c>
      <c r="P332" t="s">
        <v>44</v>
      </c>
      <c r="Q332">
        <v>25</v>
      </c>
      <c r="R332" s="15">
        <v>265664</v>
      </c>
      <c r="S332" s="15">
        <v>756000</v>
      </c>
      <c r="T332" s="16">
        <v>4690336</v>
      </c>
      <c r="U332" t="str">
        <f t="shared" si="10"/>
        <v>no</v>
      </c>
      <c r="V332" t="str">
        <f t="shared" si="11"/>
        <v>standard</v>
      </c>
    </row>
    <row r="333" spans="1:22" x14ac:dyDescent="0.3">
      <c r="A333">
        <v>1332</v>
      </c>
      <c r="B333" t="s">
        <v>99</v>
      </c>
      <c r="C333" t="s">
        <v>34</v>
      </c>
      <c r="D333">
        <v>47</v>
      </c>
      <c r="E333" t="s">
        <v>118</v>
      </c>
      <c r="F333" t="s">
        <v>62</v>
      </c>
      <c r="G333" t="s">
        <v>24</v>
      </c>
      <c r="H333" t="s">
        <v>25</v>
      </c>
      <c r="I333" t="s">
        <v>48</v>
      </c>
      <c r="J333" t="s">
        <v>87</v>
      </c>
      <c r="K333" s="2" t="s">
        <v>372</v>
      </c>
      <c r="L333" t="s">
        <v>66</v>
      </c>
      <c r="M333" t="s">
        <v>94</v>
      </c>
      <c r="N333" t="s">
        <v>52</v>
      </c>
      <c r="O333">
        <v>5</v>
      </c>
      <c r="P333" t="s">
        <v>32</v>
      </c>
      <c r="Q333">
        <v>22</v>
      </c>
      <c r="R333" s="15">
        <v>119735</v>
      </c>
      <c r="S333" s="15">
        <v>1350000</v>
      </c>
      <c r="T333" s="16">
        <v>8730265</v>
      </c>
      <c r="U333" t="str">
        <f t="shared" si="10"/>
        <v>no</v>
      </c>
      <c r="V333" t="str">
        <f t="shared" si="11"/>
        <v>standard</v>
      </c>
    </row>
    <row r="334" spans="1:22" x14ac:dyDescent="0.3">
      <c r="A334">
        <v>1333</v>
      </c>
      <c r="B334" t="s">
        <v>67</v>
      </c>
      <c r="C334" t="s">
        <v>21</v>
      </c>
      <c r="D334">
        <v>51</v>
      </c>
      <c r="E334" t="s">
        <v>112</v>
      </c>
      <c r="F334" t="s">
        <v>23</v>
      </c>
      <c r="G334" t="s">
        <v>74</v>
      </c>
      <c r="H334" t="s">
        <v>75</v>
      </c>
      <c r="I334" t="s">
        <v>48</v>
      </c>
      <c r="J334" t="s">
        <v>49</v>
      </c>
      <c r="K334" s="2" t="s">
        <v>373</v>
      </c>
      <c r="L334" t="s">
        <v>59</v>
      </c>
      <c r="M334" t="s">
        <v>30</v>
      </c>
      <c r="N334" t="s">
        <v>52</v>
      </c>
      <c r="O334">
        <v>2</v>
      </c>
      <c r="P334" t="s">
        <v>32</v>
      </c>
      <c r="Q334">
        <v>6</v>
      </c>
      <c r="R334" s="15">
        <v>233029</v>
      </c>
      <c r="S334" s="15">
        <v>936000</v>
      </c>
      <c r="T334" s="16">
        <v>5902971</v>
      </c>
      <c r="U334" t="str">
        <f t="shared" si="10"/>
        <v>no</v>
      </c>
      <c r="V334" t="str">
        <f t="shared" si="11"/>
        <v>standard</v>
      </c>
    </row>
    <row r="335" spans="1:22" x14ac:dyDescent="0.3">
      <c r="A335">
        <v>1334</v>
      </c>
      <c r="B335" t="s">
        <v>108</v>
      </c>
      <c r="C335" t="s">
        <v>21</v>
      </c>
      <c r="D335">
        <v>45</v>
      </c>
      <c r="E335" t="s">
        <v>68</v>
      </c>
      <c r="F335" t="s">
        <v>55</v>
      </c>
      <c r="G335" t="s">
        <v>91</v>
      </c>
      <c r="H335" t="s">
        <v>25</v>
      </c>
      <c r="I335" t="s">
        <v>26</v>
      </c>
      <c r="J335" t="s">
        <v>40</v>
      </c>
      <c r="K335" s="2" t="s">
        <v>153</v>
      </c>
      <c r="L335" t="s">
        <v>59</v>
      </c>
      <c r="M335" t="s">
        <v>51</v>
      </c>
      <c r="N335" t="s">
        <v>52</v>
      </c>
      <c r="O335">
        <v>2</v>
      </c>
      <c r="P335" t="s">
        <v>53</v>
      </c>
      <c r="Q335">
        <v>19</v>
      </c>
      <c r="R335" s="15">
        <v>80683</v>
      </c>
      <c r="S335" s="15">
        <v>846000</v>
      </c>
      <c r="T335" s="16">
        <v>5465317</v>
      </c>
      <c r="U335" t="str">
        <f t="shared" si="10"/>
        <v>no</v>
      </c>
      <c r="V335" t="str">
        <f t="shared" si="11"/>
        <v>standard</v>
      </c>
    </row>
    <row r="336" spans="1:22" x14ac:dyDescent="0.3">
      <c r="A336">
        <v>1335</v>
      </c>
      <c r="B336" t="s">
        <v>45</v>
      </c>
      <c r="C336" t="s">
        <v>34</v>
      </c>
      <c r="D336">
        <v>28</v>
      </c>
      <c r="E336" t="s">
        <v>61</v>
      </c>
      <c r="F336" t="s">
        <v>23</v>
      </c>
      <c r="G336" t="s">
        <v>91</v>
      </c>
      <c r="H336" t="s">
        <v>25</v>
      </c>
      <c r="I336" t="s">
        <v>48</v>
      </c>
      <c r="J336" t="s">
        <v>87</v>
      </c>
      <c r="K336" s="2" t="s">
        <v>121</v>
      </c>
      <c r="L336" t="s">
        <v>42</v>
      </c>
      <c r="M336" t="s">
        <v>30</v>
      </c>
      <c r="N336" t="s">
        <v>52</v>
      </c>
      <c r="O336">
        <v>2</v>
      </c>
      <c r="P336" t="s">
        <v>86</v>
      </c>
      <c r="Q336">
        <v>11</v>
      </c>
      <c r="R336" s="15">
        <v>130838</v>
      </c>
      <c r="S336" s="15">
        <v>2250000</v>
      </c>
      <c r="T336" s="16">
        <v>14619162</v>
      </c>
      <c r="U336" t="str">
        <f t="shared" si="10"/>
        <v>no</v>
      </c>
      <c r="V336" t="str">
        <f t="shared" si="11"/>
        <v>premium</v>
      </c>
    </row>
    <row r="337" spans="1:22" x14ac:dyDescent="0.3">
      <c r="A337">
        <v>1336</v>
      </c>
      <c r="B337" t="s">
        <v>81</v>
      </c>
      <c r="C337" t="s">
        <v>34</v>
      </c>
      <c r="D337">
        <v>60</v>
      </c>
      <c r="E337" t="s">
        <v>61</v>
      </c>
      <c r="F337" t="s">
        <v>23</v>
      </c>
      <c r="G337" t="s">
        <v>105</v>
      </c>
      <c r="H337" t="s">
        <v>106</v>
      </c>
      <c r="I337" t="s">
        <v>76</v>
      </c>
      <c r="J337" t="s">
        <v>40</v>
      </c>
      <c r="K337" s="2" t="s">
        <v>374</v>
      </c>
      <c r="L337" t="s">
        <v>42</v>
      </c>
      <c r="M337" t="s">
        <v>30</v>
      </c>
      <c r="N337" t="s">
        <v>52</v>
      </c>
      <c r="O337">
        <v>4</v>
      </c>
      <c r="P337" t="s">
        <v>86</v>
      </c>
      <c r="Q337">
        <v>6</v>
      </c>
      <c r="R337" s="15">
        <v>252153</v>
      </c>
      <c r="S337" s="15">
        <v>2250000</v>
      </c>
      <c r="T337" s="16">
        <v>14497847</v>
      </c>
      <c r="U337" t="str">
        <f t="shared" si="10"/>
        <v>no</v>
      </c>
      <c r="V337" t="str">
        <f t="shared" si="11"/>
        <v>premium</v>
      </c>
    </row>
    <row r="338" spans="1:22" x14ac:dyDescent="0.3">
      <c r="A338">
        <v>1337</v>
      </c>
      <c r="B338" t="s">
        <v>108</v>
      </c>
      <c r="C338" t="s">
        <v>34</v>
      </c>
      <c r="D338">
        <v>40</v>
      </c>
      <c r="E338" t="s">
        <v>68</v>
      </c>
      <c r="F338" t="s">
        <v>36</v>
      </c>
      <c r="G338" t="s">
        <v>47</v>
      </c>
      <c r="H338" t="s">
        <v>25</v>
      </c>
      <c r="I338" t="s">
        <v>76</v>
      </c>
      <c r="J338" t="s">
        <v>40</v>
      </c>
      <c r="K338" s="2" t="s">
        <v>375</v>
      </c>
      <c r="L338" t="s">
        <v>59</v>
      </c>
      <c r="M338" t="s">
        <v>94</v>
      </c>
      <c r="N338" t="s">
        <v>52</v>
      </c>
      <c r="O338">
        <v>3</v>
      </c>
      <c r="P338" t="s">
        <v>44</v>
      </c>
      <c r="Q338">
        <v>11</v>
      </c>
      <c r="R338" s="15">
        <v>106002</v>
      </c>
      <c r="S338" s="15">
        <v>846000</v>
      </c>
      <c r="T338" s="16">
        <v>5439998</v>
      </c>
      <c r="U338" t="str">
        <f t="shared" si="10"/>
        <v>no</v>
      </c>
      <c r="V338" t="str">
        <f t="shared" si="11"/>
        <v>standard</v>
      </c>
    </row>
    <row r="339" spans="1:22" x14ac:dyDescent="0.3">
      <c r="A339">
        <v>1338</v>
      </c>
      <c r="B339" t="s">
        <v>114</v>
      </c>
      <c r="C339" t="s">
        <v>21</v>
      </c>
      <c r="D339">
        <v>41</v>
      </c>
      <c r="E339" t="s">
        <v>22</v>
      </c>
      <c r="F339" t="s">
        <v>23</v>
      </c>
      <c r="G339" t="s">
        <v>74</v>
      </c>
      <c r="H339" t="s">
        <v>75</v>
      </c>
      <c r="I339" t="s">
        <v>76</v>
      </c>
      <c r="J339" t="s">
        <v>49</v>
      </c>
      <c r="K339" s="2" t="s">
        <v>186</v>
      </c>
      <c r="L339" t="s">
        <v>71</v>
      </c>
      <c r="M339" t="s">
        <v>43</v>
      </c>
      <c r="N339" t="s">
        <v>31</v>
      </c>
      <c r="O339">
        <v>2</v>
      </c>
      <c r="P339" t="s">
        <v>44</v>
      </c>
      <c r="Q339">
        <v>6</v>
      </c>
      <c r="R339" s="15">
        <v>209957</v>
      </c>
      <c r="S339" s="15">
        <v>756000</v>
      </c>
      <c r="T339" s="16">
        <v>4746043</v>
      </c>
      <c r="U339" t="str">
        <f t="shared" si="10"/>
        <v>no</v>
      </c>
      <c r="V339" t="str">
        <f t="shared" si="11"/>
        <v>standard</v>
      </c>
    </row>
    <row r="340" spans="1:22" x14ac:dyDescent="0.3">
      <c r="A340">
        <v>1339</v>
      </c>
      <c r="B340" t="s">
        <v>101</v>
      </c>
      <c r="C340" t="s">
        <v>21</v>
      </c>
      <c r="D340">
        <v>56</v>
      </c>
      <c r="E340" t="s">
        <v>22</v>
      </c>
      <c r="F340" t="s">
        <v>62</v>
      </c>
      <c r="G340" t="s">
        <v>105</v>
      </c>
      <c r="H340" t="s">
        <v>106</v>
      </c>
      <c r="I340" t="s">
        <v>97</v>
      </c>
      <c r="J340" t="s">
        <v>49</v>
      </c>
      <c r="K340" s="2" t="s">
        <v>291</v>
      </c>
      <c r="L340" t="s">
        <v>59</v>
      </c>
      <c r="M340" t="s">
        <v>30</v>
      </c>
      <c r="N340" t="s">
        <v>52</v>
      </c>
      <c r="O340">
        <v>5</v>
      </c>
      <c r="P340" t="s">
        <v>32</v>
      </c>
      <c r="Q340">
        <v>19</v>
      </c>
      <c r="R340" s="15">
        <v>162767</v>
      </c>
      <c r="S340" s="15">
        <v>756000</v>
      </c>
      <c r="T340" s="16">
        <v>4793233</v>
      </c>
      <c r="U340" t="str">
        <f t="shared" si="10"/>
        <v>no</v>
      </c>
      <c r="V340" t="str">
        <f t="shared" si="11"/>
        <v>standard</v>
      </c>
    </row>
    <row r="341" spans="1:22" x14ac:dyDescent="0.3">
      <c r="A341">
        <v>1340</v>
      </c>
      <c r="B341" t="s">
        <v>72</v>
      </c>
      <c r="C341" t="s">
        <v>21</v>
      </c>
      <c r="D341">
        <v>26</v>
      </c>
      <c r="E341" t="s">
        <v>118</v>
      </c>
      <c r="F341" t="s">
        <v>62</v>
      </c>
      <c r="G341" t="s">
        <v>63</v>
      </c>
      <c r="H341" t="s">
        <v>64</v>
      </c>
      <c r="I341" t="s">
        <v>39</v>
      </c>
      <c r="J341" t="s">
        <v>27</v>
      </c>
      <c r="K341" s="2" t="s">
        <v>376</v>
      </c>
      <c r="L341" t="s">
        <v>42</v>
      </c>
      <c r="M341" t="s">
        <v>51</v>
      </c>
      <c r="N341" t="s">
        <v>31</v>
      </c>
      <c r="O341">
        <v>2</v>
      </c>
      <c r="P341" t="s">
        <v>32</v>
      </c>
      <c r="Q341">
        <v>20</v>
      </c>
      <c r="R341" s="15">
        <v>195166</v>
      </c>
      <c r="S341" s="15">
        <v>1350000</v>
      </c>
      <c r="T341" s="16">
        <v>8654834</v>
      </c>
      <c r="U341" t="str">
        <f t="shared" si="10"/>
        <v>no</v>
      </c>
      <c r="V341" t="str">
        <f t="shared" si="11"/>
        <v>standard</v>
      </c>
    </row>
    <row r="342" spans="1:22" x14ac:dyDescent="0.3">
      <c r="A342">
        <v>1341</v>
      </c>
      <c r="B342" t="s">
        <v>60</v>
      </c>
      <c r="C342" t="s">
        <v>34</v>
      </c>
      <c r="D342">
        <v>59</v>
      </c>
      <c r="E342" t="s">
        <v>112</v>
      </c>
      <c r="F342" t="s">
        <v>36</v>
      </c>
      <c r="G342" t="s">
        <v>37</v>
      </c>
      <c r="H342" t="s">
        <v>38</v>
      </c>
      <c r="I342" t="s">
        <v>39</v>
      </c>
      <c r="J342" t="s">
        <v>27</v>
      </c>
      <c r="K342" s="2" t="s">
        <v>377</v>
      </c>
      <c r="L342" t="s">
        <v>29</v>
      </c>
      <c r="M342" t="s">
        <v>30</v>
      </c>
      <c r="N342" t="s">
        <v>31</v>
      </c>
      <c r="O342">
        <v>5</v>
      </c>
      <c r="P342" t="s">
        <v>86</v>
      </c>
      <c r="Q342">
        <v>14</v>
      </c>
      <c r="R342" s="15">
        <v>264125</v>
      </c>
      <c r="S342" s="15">
        <v>936000</v>
      </c>
      <c r="T342" s="16">
        <v>5871875</v>
      </c>
      <c r="U342" t="str">
        <f t="shared" si="10"/>
        <v>no</v>
      </c>
      <c r="V342" t="str">
        <f t="shared" si="11"/>
        <v>standard</v>
      </c>
    </row>
    <row r="343" spans="1:22" x14ac:dyDescent="0.3">
      <c r="A343">
        <v>1342</v>
      </c>
      <c r="B343" t="s">
        <v>104</v>
      </c>
      <c r="C343" t="s">
        <v>34</v>
      </c>
      <c r="D343">
        <v>46</v>
      </c>
      <c r="E343" t="s">
        <v>68</v>
      </c>
      <c r="F343" t="s">
        <v>36</v>
      </c>
      <c r="G343" t="s">
        <v>105</v>
      </c>
      <c r="H343" t="s">
        <v>106</v>
      </c>
      <c r="I343" t="s">
        <v>26</v>
      </c>
      <c r="J343" t="s">
        <v>87</v>
      </c>
      <c r="K343" s="2" t="s">
        <v>378</v>
      </c>
      <c r="L343" t="s">
        <v>66</v>
      </c>
      <c r="M343" t="s">
        <v>78</v>
      </c>
      <c r="N343" t="s">
        <v>52</v>
      </c>
      <c r="O343">
        <v>5</v>
      </c>
      <c r="P343" t="s">
        <v>44</v>
      </c>
      <c r="Q343">
        <v>23</v>
      </c>
      <c r="R343" s="15">
        <v>194216</v>
      </c>
      <c r="S343" s="15">
        <v>846000</v>
      </c>
      <c r="T343" s="16">
        <v>5351784</v>
      </c>
      <c r="U343" t="str">
        <f t="shared" si="10"/>
        <v>no</v>
      </c>
      <c r="V343" t="str">
        <f t="shared" si="11"/>
        <v>standard</v>
      </c>
    </row>
    <row r="344" spans="1:22" x14ac:dyDescent="0.3">
      <c r="A344">
        <v>1343</v>
      </c>
      <c r="B344" t="s">
        <v>104</v>
      </c>
      <c r="C344" t="s">
        <v>34</v>
      </c>
      <c r="D344">
        <v>52</v>
      </c>
      <c r="E344" t="s">
        <v>90</v>
      </c>
      <c r="F344" t="s">
        <v>36</v>
      </c>
      <c r="G344" t="s">
        <v>105</v>
      </c>
      <c r="H344" t="s">
        <v>106</v>
      </c>
      <c r="I344" t="s">
        <v>76</v>
      </c>
      <c r="J344" t="s">
        <v>87</v>
      </c>
      <c r="K344" s="2" t="s">
        <v>379</v>
      </c>
      <c r="L344" t="s">
        <v>59</v>
      </c>
      <c r="M344" t="s">
        <v>78</v>
      </c>
      <c r="N344" t="s">
        <v>31</v>
      </c>
      <c r="O344">
        <v>2</v>
      </c>
      <c r="P344" t="s">
        <v>53</v>
      </c>
      <c r="Q344">
        <v>10</v>
      </c>
      <c r="R344" s="15">
        <v>259008</v>
      </c>
      <c r="S344" s="15">
        <v>702000</v>
      </c>
      <c r="T344" s="16">
        <v>4342992</v>
      </c>
      <c r="U344" t="str">
        <f t="shared" si="10"/>
        <v>no</v>
      </c>
      <c r="V344" t="str">
        <f t="shared" si="11"/>
        <v>budget</v>
      </c>
    </row>
    <row r="345" spans="1:22" x14ac:dyDescent="0.3">
      <c r="A345">
        <v>1344</v>
      </c>
      <c r="B345" t="s">
        <v>79</v>
      </c>
      <c r="C345" t="s">
        <v>34</v>
      </c>
      <c r="D345">
        <v>45</v>
      </c>
      <c r="E345" t="s">
        <v>73</v>
      </c>
      <c r="F345" t="s">
        <v>62</v>
      </c>
      <c r="G345" t="s">
        <v>105</v>
      </c>
      <c r="H345" t="s">
        <v>106</v>
      </c>
      <c r="I345" t="s">
        <v>26</v>
      </c>
      <c r="J345" t="s">
        <v>87</v>
      </c>
      <c r="K345" s="2" t="s">
        <v>380</v>
      </c>
      <c r="L345" t="s">
        <v>59</v>
      </c>
      <c r="M345" t="s">
        <v>30</v>
      </c>
      <c r="N345" t="s">
        <v>31</v>
      </c>
      <c r="O345">
        <v>4</v>
      </c>
      <c r="P345" t="s">
        <v>53</v>
      </c>
      <c r="Q345">
        <v>17</v>
      </c>
      <c r="R345" s="15">
        <v>161650</v>
      </c>
      <c r="S345" s="15">
        <v>1224000</v>
      </c>
      <c r="T345" s="16">
        <v>7862350</v>
      </c>
      <c r="U345" t="str">
        <f t="shared" si="10"/>
        <v>no</v>
      </c>
      <c r="V345" t="str">
        <f t="shared" si="11"/>
        <v>standard</v>
      </c>
    </row>
    <row r="346" spans="1:22" x14ac:dyDescent="0.3">
      <c r="A346">
        <v>1345</v>
      </c>
      <c r="B346" t="s">
        <v>33</v>
      </c>
      <c r="C346" t="s">
        <v>21</v>
      </c>
      <c r="D346">
        <v>30</v>
      </c>
      <c r="E346" t="s">
        <v>46</v>
      </c>
      <c r="F346" t="s">
        <v>55</v>
      </c>
      <c r="G346" t="s">
        <v>63</v>
      </c>
      <c r="H346" t="s">
        <v>64</v>
      </c>
      <c r="I346" t="s">
        <v>76</v>
      </c>
      <c r="J346" t="s">
        <v>87</v>
      </c>
      <c r="K346" s="2" t="s">
        <v>244</v>
      </c>
      <c r="L346" t="s">
        <v>29</v>
      </c>
      <c r="M346" t="s">
        <v>94</v>
      </c>
      <c r="N346" t="s">
        <v>52</v>
      </c>
      <c r="O346">
        <v>2</v>
      </c>
      <c r="P346" t="s">
        <v>86</v>
      </c>
      <c r="Q346">
        <v>23</v>
      </c>
      <c r="R346" s="15">
        <v>193469</v>
      </c>
      <c r="S346" s="15">
        <v>5760000</v>
      </c>
      <c r="T346" s="16">
        <v>37566531</v>
      </c>
      <c r="U346" t="str">
        <f t="shared" si="10"/>
        <v>yes</v>
      </c>
      <c r="V346" t="str">
        <f t="shared" si="11"/>
        <v>ultra premium</v>
      </c>
    </row>
    <row r="347" spans="1:22" x14ac:dyDescent="0.3">
      <c r="A347">
        <v>1346</v>
      </c>
      <c r="B347" t="s">
        <v>114</v>
      </c>
      <c r="C347" t="s">
        <v>21</v>
      </c>
      <c r="D347">
        <v>35</v>
      </c>
      <c r="E347" t="s">
        <v>90</v>
      </c>
      <c r="F347" t="s">
        <v>23</v>
      </c>
      <c r="G347" t="s">
        <v>24</v>
      </c>
      <c r="H347" t="s">
        <v>25</v>
      </c>
      <c r="I347" t="s">
        <v>39</v>
      </c>
      <c r="J347" t="s">
        <v>49</v>
      </c>
      <c r="K347" s="2" t="s">
        <v>381</v>
      </c>
      <c r="L347" t="s">
        <v>71</v>
      </c>
      <c r="M347" t="s">
        <v>78</v>
      </c>
      <c r="N347" t="s">
        <v>52</v>
      </c>
      <c r="O347">
        <v>2</v>
      </c>
      <c r="P347" t="s">
        <v>44</v>
      </c>
      <c r="Q347">
        <v>9</v>
      </c>
      <c r="R347" s="15">
        <v>167764</v>
      </c>
      <c r="S347" s="15">
        <v>702000</v>
      </c>
      <c r="T347" s="16">
        <v>4434236</v>
      </c>
      <c r="U347" t="str">
        <f t="shared" si="10"/>
        <v>no</v>
      </c>
      <c r="V347" t="str">
        <f t="shared" si="11"/>
        <v>budget</v>
      </c>
    </row>
    <row r="348" spans="1:22" x14ac:dyDescent="0.3">
      <c r="A348">
        <v>1347</v>
      </c>
      <c r="B348" t="s">
        <v>33</v>
      </c>
      <c r="C348" t="s">
        <v>34</v>
      </c>
      <c r="D348">
        <v>55</v>
      </c>
      <c r="E348" t="s">
        <v>118</v>
      </c>
      <c r="F348" t="s">
        <v>62</v>
      </c>
      <c r="G348" t="s">
        <v>24</v>
      </c>
      <c r="H348" t="s">
        <v>25</v>
      </c>
      <c r="I348" t="s">
        <v>48</v>
      </c>
      <c r="J348" t="s">
        <v>40</v>
      </c>
      <c r="K348" s="2" t="s">
        <v>377</v>
      </c>
      <c r="L348" t="s">
        <v>59</v>
      </c>
      <c r="M348" t="s">
        <v>51</v>
      </c>
      <c r="N348" t="s">
        <v>52</v>
      </c>
      <c r="O348">
        <v>5</v>
      </c>
      <c r="P348" t="s">
        <v>53</v>
      </c>
      <c r="Q348">
        <v>12</v>
      </c>
      <c r="R348" s="15">
        <v>275788</v>
      </c>
      <c r="S348" s="15">
        <v>1350000</v>
      </c>
      <c r="T348" s="16">
        <v>8574212</v>
      </c>
      <c r="U348" t="str">
        <f t="shared" si="10"/>
        <v>no</v>
      </c>
      <c r="V348" t="str">
        <f t="shared" si="11"/>
        <v>standard</v>
      </c>
    </row>
    <row r="349" spans="1:22" x14ac:dyDescent="0.3">
      <c r="A349">
        <v>1348</v>
      </c>
      <c r="B349" t="s">
        <v>54</v>
      </c>
      <c r="C349" t="s">
        <v>21</v>
      </c>
      <c r="D349">
        <v>33</v>
      </c>
      <c r="E349" t="s">
        <v>82</v>
      </c>
      <c r="F349" t="s">
        <v>62</v>
      </c>
      <c r="G349" t="s">
        <v>24</v>
      </c>
      <c r="H349" t="s">
        <v>25</v>
      </c>
      <c r="I349" t="s">
        <v>97</v>
      </c>
      <c r="J349" t="s">
        <v>40</v>
      </c>
      <c r="K349" s="2" t="s">
        <v>382</v>
      </c>
      <c r="L349" t="s">
        <v>29</v>
      </c>
      <c r="M349" t="s">
        <v>94</v>
      </c>
      <c r="N349" t="s">
        <v>52</v>
      </c>
      <c r="O349">
        <v>3</v>
      </c>
      <c r="P349" t="s">
        <v>53</v>
      </c>
      <c r="Q349">
        <v>22</v>
      </c>
      <c r="R349" s="15">
        <v>180598</v>
      </c>
      <c r="S349" s="15">
        <v>1098000</v>
      </c>
      <c r="T349" s="16">
        <v>7017402</v>
      </c>
      <c r="U349" t="str">
        <f t="shared" si="10"/>
        <v>no</v>
      </c>
      <c r="V349" t="str">
        <f t="shared" si="11"/>
        <v>standard</v>
      </c>
    </row>
    <row r="350" spans="1:22" x14ac:dyDescent="0.3">
      <c r="A350">
        <v>1349</v>
      </c>
      <c r="B350" t="s">
        <v>104</v>
      </c>
      <c r="C350" t="s">
        <v>34</v>
      </c>
      <c r="D350">
        <v>30</v>
      </c>
      <c r="E350" t="s">
        <v>22</v>
      </c>
      <c r="F350" t="s">
        <v>36</v>
      </c>
      <c r="G350" t="s">
        <v>63</v>
      </c>
      <c r="H350" t="s">
        <v>64</v>
      </c>
      <c r="I350" t="s">
        <v>39</v>
      </c>
      <c r="J350" t="s">
        <v>27</v>
      </c>
      <c r="K350" s="2" t="s">
        <v>246</v>
      </c>
      <c r="L350" t="s">
        <v>29</v>
      </c>
      <c r="M350" t="s">
        <v>78</v>
      </c>
      <c r="N350" t="s">
        <v>52</v>
      </c>
      <c r="O350">
        <v>3</v>
      </c>
      <c r="P350" t="s">
        <v>86</v>
      </c>
      <c r="Q350">
        <v>8</v>
      </c>
      <c r="R350" s="15">
        <v>86410</v>
      </c>
      <c r="S350" s="15">
        <v>756000</v>
      </c>
      <c r="T350" s="16">
        <v>4869590</v>
      </c>
      <c r="U350" t="str">
        <f t="shared" si="10"/>
        <v>no</v>
      </c>
      <c r="V350" t="str">
        <f t="shared" si="11"/>
        <v>standard</v>
      </c>
    </row>
    <row r="351" spans="1:22" x14ac:dyDescent="0.3">
      <c r="A351">
        <v>1350</v>
      </c>
      <c r="B351" t="s">
        <v>60</v>
      </c>
      <c r="C351" t="s">
        <v>34</v>
      </c>
      <c r="D351">
        <v>28</v>
      </c>
      <c r="E351" t="s">
        <v>22</v>
      </c>
      <c r="F351" t="s">
        <v>23</v>
      </c>
      <c r="G351" t="s">
        <v>37</v>
      </c>
      <c r="H351" t="s">
        <v>38</v>
      </c>
      <c r="I351" t="s">
        <v>48</v>
      </c>
      <c r="J351" t="s">
        <v>49</v>
      </c>
      <c r="K351" s="2" t="s">
        <v>211</v>
      </c>
      <c r="L351" t="s">
        <v>71</v>
      </c>
      <c r="M351" t="s">
        <v>51</v>
      </c>
      <c r="N351" t="s">
        <v>31</v>
      </c>
      <c r="O351">
        <v>2</v>
      </c>
      <c r="P351" t="s">
        <v>86</v>
      </c>
      <c r="Q351">
        <v>24</v>
      </c>
      <c r="R351" s="15">
        <v>127688</v>
      </c>
      <c r="S351" s="15">
        <v>756000</v>
      </c>
      <c r="T351" s="16">
        <v>4828312</v>
      </c>
      <c r="U351" t="str">
        <f t="shared" si="10"/>
        <v>no</v>
      </c>
      <c r="V351" t="str">
        <f t="shared" si="11"/>
        <v>standard</v>
      </c>
    </row>
    <row r="352" spans="1:22" x14ac:dyDescent="0.3">
      <c r="A352">
        <v>1351</v>
      </c>
      <c r="B352" t="s">
        <v>81</v>
      </c>
      <c r="C352" t="s">
        <v>34</v>
      </c>
      <c r="D352">
        <v>38</v>
      </c>
      <c r="E352" t="s">
        <v>61</v>
      </c>
      <c r="F352" t="s">
        <v>55</v>
      </c>
      <c r="G352" t="s">
        <v>105</v>
      </c>
      <c r="H352" t="s">
        <v>106</v>
      </c>
      <c r="I352" t="s">
        <v>48</v>
      </c>
      <c r="J352" t="s">
        <v>27</v>
      </c>
      <c r="K352" s="2" t="s">
        <v>370</v>
      </c>
      <c r="L352" t="s">
        <v>66</v>
      </c>
      <c r="M352" t="s">
        <v>30</v>
      </c>
      <c r="N352" t="s">
        <v>31</v>
      </c>
      <c r="O352">
        <v>3</v>
      </c>
      <c r="P352" t="s">
        <v>53</v>
      </c>
      <c r="Q352">
        <v>25</v>
      </c>
      <c r="R352" s="15">
        <v>291687</v>
      </c>
      <c r="S352" s="15">
        <v>2250000</v>
      </c>
      <c r="T352" s="16">
        <v>14458313</v>
      </c>
      <c r="U352" t="str">
        <f t="shared" si="10"/>
        <v>no</v>
      </c>
      <c r="V352" t="str">
        <f t="shared" si="11"/>
        <v>premium</v>
      </c>
    </row>
    <row r="353" spans="1:22" x14ac:dyDescent="0.3">
      <c r="A353">
        <v>1352</v>
      </c>
      <c r="B353" t="s">
        <v>81</v>
      </c>
      <c r="C353" t="s">
        <v>21</v>
      </c>
      <c r="D353">
        <v>44</v>
      </c>
      <c r="E353" t="s">
        <v>118</v>
      </c>
      <c r="F353" t="s">
        <v>55</v>
      </c>
      <c r="G353" t="s">
        <v>63</v>
      </c>
      <c r="H353" t="s">
        <v>64</v>
      </c>
      <c r="I353" t="s">
        <v>76</v>
      </c>
      <c r="J353" t="s">
        <v>40</v>
      </c>
      <c r="K353" s="2" t="s">
        <v>383</v>
      </c>
      <c r="L353" t="s">
        <v>29</v>
      </c>
      <c r="M353" t="s">
        <v>43</v>
      </c>
      <c r="N353" t="s">
        <v>52</v>
      </c>
      <c r="O353">
        <v>4</v>
      </c>
      <c r="P353" t="s">
        <v>32</v>
      </c>
      <c r="Q353">
        <v>8</v>
      </c>
      <c r="R353" s="15">
        <v>281741</v>
      </c>
      <c r="S353" s="15">
        <v>1350000</v>
      </c>
      <c r="T353" s="16">
        <v>8568259</v>
      </c>
      <c r="U353" t="str">
        <f t="shared" si="10"/>
        <v>no</v>
      </c>
      <c r="V353" t="str">
        <f t="shared" si="11"/>
        <v>standard</v>
      </c>
    </row>
    <row r="354" spans="1:22" x14ac:dyDescent="0.3">
      <c r="A354">
        <v>1353</v>
      </c>
      <c r="B354" t="s">
        <v>60</v>
      </c>
      <c r="C354" t="s">
        <v>21</v>
      </c>
      <c r="D354">
        <v>56</v>
      </c>
      <c r="E354" t="s">
        <v>82</v>
      </c>
      <c r="F354" t="s">
        <v>55</v>
      </c>
      <c r="G354" t="s">
        <v>56</v>
      </c>
      <c r="H354" t="s">
        <v>57</v>
      </c>
      <c r="I354" t="s">
        <v>26</v>
      </c>
      <c r="J354" t="s">
        <v>87</v>
      </c>
      <c r="K354" s="2" t="s">
        <v>384</v>
      </c>
      <c r="L354" t="s">
        <v>29</v>
      </c>
      <c r="M354" t="s">
        <v>94</v>
      </c>
      <c r="N354" t="s">
        <v>52</v>
      </c>
      <c r="O354">
        <v>5</v>
      </c>
      <c r="P354" t="s">
        <v>53</v>
      </c>
      <c r="Q354">
        <v>7</v>
      </c>
      <c r="R354" s="15">
        <v>143241</v>
      </c>
      <c r="S354" s="15">
        <v>1098000</v>
      </c>
      <c r="T354" s="16">
        <v>7054759</v>
      </c>
      <c r="U354" t="str">
        <f t="shared" si="10"/>
        <v>no</v>
      </c>
      <c r="V354" t="str">
        <f t="shared" si="11"/>
        <v>standard</v>
      </c>
    </row>
    <row r="355" spans="1:22" x14ac:dyDescent="0.3">
      <c r="A355">
        <v>1354</v>
      </c>
      <c r="B355" t="s">
        <v>60</v>
      </c>
      <c r="C355" t="s">
        <v>21</v>
      </c>
      <c r="D355">
        <v>58</v>
      </c>
      <c r="E355" t="s">
        <v>35</v>
      </c>
      <c r="F355" t="s">
        <v>62</v>
      </c>
      <c r="G355" t="s">
        <v>74</v>
      </c>
      <c r="H355" t="s">
        <v>75</v>
      </c>
      <c r="I355" t="s">
        <v>39</v>
      </c>
      <c r="J355" t="s">
        <v>27</v>
      </c>
      <c r="K355" s="2" t="s">
        <v>206</v>
      </c>
      <c r="L355" t="s">
        <v>66</v>
      </c>
      <c r="M355" t="s">
        <v>30</v>
      </c>
      <c r="N355" t="s">
        <v>31</v>
      </c>
      <c r="O355">
        <v>2</v>
      </c>
      <c r="P355" t="s">
        <v>32</v>
      </c>
      <c r="Q355">
        <v>24</v>
      </c>
      <c r="R355" s="15">
        <v>128757</v>
      </c>
      <c r="S355" s="15">
        <v>1764000</v>
      </c>
      <c r="T355" s="16">
        <v>11435243</v>
      </c>
      <c r="U355" t="str">
        <f t="shared" si="10"/>
        <v>yes</v>
      </c>
      <c r="V355" t="str">
        <f t="shared" si="11"/>
        <v>premium</v>
      </c>
    </row>
    <row r="356" spans="1:22" x14ac:dyDescent="0.3">
      <c r="A356">
        <v>1355</v>
      </c>
      <c r="B356" t="s">
        <v>108</v>
      </c>
      <c r="C356" t="s">
        <v>34</v>
      </c>
      <c r="D356">
        <v>49</v>
      </c>
      <c r="E356" t="s">
        <v>118</v>
      </c>
      <c r="F356" t="s">
        <v>62</v>
      </c>
      <c r="G356" t="s">
        <v>69</v>
      </c>
      <c r="H356" t="s">
        <v>69</v>
      </c>
      <c r="I356" t="s">
        <v>97</v>
      </c>
      <c r="J356" t="s">
        <v>49</v>
      </c>
      <c r="K356" s="2" t="s">
        <v>351</v>
      </c>
      <c r="L356" t="s">
        <v>66</v>
      </c>
      <c r="M356" t="s">
        <v>94</v>
      </c>
      <c r="N356" t="s">
        <v>31</v>
      </c>
      <c r="O356">
        <v>3</v>
      </c>
      <c r="P356" t="s">
        <v>32</v>
      </c>
      <c r="Q356">
        <v>6</v>
      </c>
      <c r="R356" s="15">
        <v>293753</v>
      </c>
      <c r="S356" s="15">
        <v>1350000</v>
      </c>
      <c r="T356" s="16">
        <v>8556247</v>
      </c>
      <c r="U356" t="str">
        <f t="shared" si="10"/>
        <v>no</v>
      </c>
      <c r="V356" t="str">
        <f t="shared" si="11"/>
        <v>standard</v>
      </c>
    </row>
    <row r="357" spans="1:22" x14ac:dyDescent="0.3">
      <c r="A357">
        <v>1356</v>
      </c>
      <c r="B357" t="s">
        <v>20</v>
      </c>
      <c r="C357" t="s">
        <v>21</v>
      </c>
      <c r="D357">
        <v>50</v>
      </c>
      <c r="E357" t="s">
        <v>82</v>
      </c>
      <c r="F357" t="s">
        <v>55</v>
      </c>
      <c r="G357" t="s">
        <v>74</v>
      </c>
      <c r="H357" t="s">
        <v>75</v>
      </c>
      <c r="I357" t="s">
        <v>26</v>
      </c>
      <c r="J357" t="s">
        <v>87</v>
      </c>
      <c r="K357" s="2" t="s">
        <v>385</v>
      </c>
      <c r="L357" t="s">
        <v>71</v>
      </c>
      <c r="M357" t="s">
        <v>78</v>
      </c>
      <c r="N357" t="s">
        <v>52</v>
      </c>
      <c r="O357">
        <v>2</v>
      </c>
      <c r="P357" t="s">
        <v>53</v>
      </c>
      <c r="Q357">
        <v>15</v>
      </c>
      <c r="R357" s="15">
        <v>93359</v>
      </c>
      <c r="S357" s="15">
        <v>1098000</v>
      </c>
      <c r="T357" s="16">
        <v>7104641</v>
      </c>
      <c r="U357" t="str">
        <f t="shared" si="10"/>
        <v>no</v>
      </c>
      <c r="V357" t="str">
        <f t="shared" si="11"/>
        <v>standard</v>
      </c>
    </row>
    <row r="358" spans="1:22" x14ac:dyDescent="0.3">
      <c r="A358">
        <v>1357</v>
      </c>
      <c r="B358" t="s">
        <v>108</v>
      </c>
      <c r="C358" t="s">
        <v>21</v>
      </c>
      <c r="D358">
        <v>31</v>
      </c>
      <c r="E358" t="s">
        <v>35</v>
      </c>
      <c r="F358" t="s">
        <v>55</v>
      </c>
      <c r="G358" t="s">
        <v>56</v>
      </c>
      <c r="H358" t="s">
        <v>57</v>
      </c>
      <c r="I358" t="s">
        <v>97</v>
      </c>
      <c r="J358" t="s">
        <v>87</v>
      </c>
      <c r="K358" s="2" t="s">
        <v>386</v>
      </c>
      <c r="L358" t="s">
        <v>59</v>
      </c>
      <c r="M358" t="s">
        <v>43</v>
      </c>
      <c r="N358" t="s">
        <v>31</v>
      </c>
      <c r="O358">
        <v>2</v>
      </c>
      <c r="P358" t="s">
        <v>53</v>
      </c>
      <c r="Q358">
        <v>22</v>
      </c>
      <c r="R358" s="15">
        <v>160463</v>
      </c>
      <c r="S358" s="15">
        <v>1764000</v>
      </c>
      <c r="T358" s="16">
        <v>11403537</v>
      </c>
      <c r="U358" t="str">
        <f t="shared" si="10"/>
        <v>yes</v>
      </c>
      <c r="V358" t="str">
        <f t="shared" si="11"/>
        <v>premium</v>
      </c>
    </row>
    <row r="359" spans="1:22" x14ac:dyDescent="0.3">
      <c r="A359">
        <v>1358</v>
      </c>
      <c r="B359" t="s">
        <v>79</v>
      </c>
      <c r="C359" t="s">
        <v>21</v>
      </c>
      <c r="D359">
        <v>39</v>
      </c>
      <c r="E359" t="s">
        <v>82</v>
      </c>
      <c r="F359" t="s">
        <v>23</v>
      </c>
      <c r="G359" t="s">
        <v>37</v>
      </c>
      <c r="H359" t="s">
        <v>38</v>
      </c>
      <c r="I359" t="s">
        <v>48</v>
      </c>
      <c r="J359" t="s">
        <v>49</v>
      </c>
      <c r="K359" s="2" t="s">
        <v>387</v>
      </c>
      <c r="L359" t="s">
        <v>29</v>
      </c>
      <c r="M359" t="s">
        <v>94</v>
      </c>
      <c r="N359" t="s">
        <v>52</v>
      </c>
      <c r="O359">
        <v>2</v>
      </c>
      <c r="P359" t="s">
        <v>32</v>
      </c>
      <c r="Q359">
        <v>15</v>
      </c>
      <c r="R359" s="15">
        <v>101794</v>
      </c>
      <c r="S359" s="15">
        <v>1098000</v>
      </c>
      <c r="T359" s="16">
        <v>7096206</v>
      </c>
      <c r="U359" t="str">
        <f t="shared" si="10"/>
        <v>no</v>
      </c>
      <c r="V359" t="str">
        <f t="shared" si="11"/>
        <v>standard</v>
      </c>
    </row>
    <row r="360" spans="1:22" x14ac:dyDescent="0.3">
      <c r="A360">
        <v>1359</v>
      </c>
      <c r="B360" t="s">
        <v>104</v>
      </c>
      <c r="C360" t="s">
        <v>34</v>
      </c>
      <c r="D360">
        <v>39</v>
      </c>
      <c r="E360" t="s">
        <v>68</v>
      </c>
      <c r="F360" t="s">
        <v>23</v>
      </c>
      <c r="G360" t="s">
        <v>56</v>
      </c>
      <c r="H360" t="s">
        <v>57</v>
      </c>
      <c r="I360" t="s">
        <v>39</v>
      </c>
      <c r="J360" t="s">
        <v>40</v>
      </c>
      <c r="K360" s="2" t="s">
        <v>388</v>
      </c>
      <c r="L360" t="s">
        <v>42</v>
      </c>
      <c r="M360" t="s">
        <v>78</v>
      </c>
      <c r="N360" t="s">
        <v>31</v>
      </c>
      <c r="O360">
        <v>3</v>
      </c>
      <c r="P360" t="s">
        <v>32</v>
      </c>
      <c r="Q360">
        <v>9</v>
      </c>
      <c r="R360" s="15">
        <v>128268</v>
      </c>
      <c r="S360" s="15">
        <v>846000</v>
      </c>
      <c r="T360" s="16">
        <v>5417732</v>
      </c>
      <c r="U360" t="str">
        <f t="shared" si="10"/>
        <v>no</v>
      </c>
      <c r="V360" t="str">
        <f t="shared" si="11"/>
        <v>standard</v>
      </c>
    </row>
    <row r="361" spans="1:22" x14ac:dyDescent="0.3">
      <c r="A361">
        <v>1360</v>
      </c>
      <c r="B361" t="s">
        <v>45</v>
      </c>
      <c r="C361" t="s">
        <v>21</v>
      </c>
      <c r="D361">
        <v>44</v>
      </c>
      <c r="E361" t="s">
        <v>22</v>
      </c>
      <c r="F361" t="s">
        <v>36</v>
      </c>
      <c r="G361" t="s">
        <v>56</v>
      </c>
      <c r="H361" t="s">
        <v>57</v>
      </c>
      <c r="I361" t="s">
        <v>48</v>
      </c>
      <c r="J361" t="s">
        <v>87</v>
      </c>
      <c r="K361" s="2" t="s">
        <v>389</v>
      </c>
      <c r="L361" t="s">
        <v>66</v>
      </c>
      <c r="M361" t="s">
        <v>51</v>
      </c>
      <c r="N361" t="s">
        <v>31</v>
      </c>
      <c r="O361">
        <v>3</v>
      </c>
      <c r="P361" t="s">
        <v>53</v>
      </c>
      <c r="Q361">
        <v>7</v>
      </c>
      <c r="R361" s="15">
        <v>159236</v>
      </c>
      <c r="S361" s="15">
        <v>756000</v>
      </c>
      <c r="T361" s="16">
        <v>4796764</v>
      </c>
      <c r="U361" t="str">
        <f t="shared" si="10"/>
        <v>no</v>
      </c>
      <c r="V361" t="str">
        <f t="shared" si="11"/>
        <v>standard</v>
      </c>
    </row>
    <row r="362" spans="1:22" x14ac:dyDescent="0.3">
      <c r="A362">
        <v>1361</v>
      </c>
      <c r="B362" t="s">
        <v>72</v>
      </c>
      <c r="C362" t="s">
        <v>21</v>
      </c>
      <c r="D362">
        <v>57</v>
      </c>
      <c r="E362" t="s">
        <v>112</v>
      </c>
      <c r="F362" t="s">
        <v>23</v>
      </c>
      <c r="G362" t="s">
        <v>47</v>
      </c>
      <c r="H362" t="s">
        <v>25</v>
      </c>
      <c r="I362" t="s">
        <v>39</v>
      </c>
      <c r="J362" t="s">
        <v>27</v>
      </c>
      <c r="K362" s="2" t="s">
        <v>271</v>
      </c>
      <c r="L362" t="s">
        <v>42</v>
      </c>
      <c r="M362" t="s">
        <v>43</v>
      </c>
      <c r="N362" t="s">
        <v>52</v>
      </c>
      <c r="O362">
        <v>3</v>
      </c>
      <c r="P362" t="s">
        <v>86</v>
      </c>
      <c r="Q362">
        <v>19</v>
      </c>
      <c r="R362" s="15">
        <v>277847</v>
      </c>
      <c r="S362" s="15">
        <v>936000</v>
      </c>
      <c r="T362" s="16">
        <v>5858153</v>
      </c>
      <c r="U362" t="str">
        <f t="shared" si="10"/>
        <v>no</v>
      </c>
      <c r="V362" t="str">
        <f t="shared" si="11"/>
        <v>standard</v>
      </c>
    </row>
    <row r="363" spans="1:22" x14ac:dyDescent="0.3">
      <c r="A363">
        <v>1362</v>
      </c>
      <c r="B363" t="s">
        <v>45</v>
      </c>
      <c r="C363" t="s">
        <v>34</v>
      </c>
      <c r="D363">
        <v>28</v>
      </c>
      <c r="E363" t="s">
        <v>82</v>
      </c>
      <c r="F363" t="s">
        <v>36</v>
      </c>
      <c r="G363" t="s">
        <v>105</v>
      </c>
      <c r="H363" t="s">
        <v>106</v>
      </c>
      <c r="I363" t="s">
        <v>48</v>
      </c>
      <c r="J363" t="s">
        <v>40</v>
      </c>
      <c r="K363" s="2" t="s">
        <v>320</v>
      </c>
      <c r="L363" t="s">
        <v>71</v>
      </c>
      <c r="M363" t="s">
        <v>78</v>
      </c>
      <c r="N363" t="s">
        <v>52</v>
      </c>
      <c r="O363">
        <v>3</v>
      </c>
      <c r="P363" t="s">
        <v>86</v>
      </c>
      <c r="Q363">
        <v>17</v>
      </c>
      <c r="R363" s="15">
        <v>195251</v>
      </c>
      <c r="S363" s="15">
        <v>1098000</v>
      </c>
      <c r="T363" s="16">
        <v>7002749</v>
      </c>
      <c r="U363" t="str">
        <f t="shared" si="10"/>
        <v>no</v>
      </c>
      <c r="V363" t="str">
        <f t="shared" si="11"/>
        <v>standard</v>
      </c>
    </row>
    <row r="364" spans="1:22" x14ac:dyDescent="0.3">
      <c r="A364">
        <v>1363</v>
      </c>
      <c r="B364" t="s">
        <v>60</v>
      </c>
      <c r="C364" t="s">
        <v>21</v>
      </c>
      <c r="D364">
        <v>35</v>
      </c>
      <c r="E364" t="s">
        <v>22</v>
      </c>
      <c r="F364" t="s">
        <v>62</v>
      </c>
      <c r="G364" t="s">
        <v>37</v>
      </c>
      <c r="H364" t="s">
        <v>38</v>
      </c>
      <c r="I364" t="s">
        <v>48</v>
      </c>
      <c r="J364" t="s">
        <v>27</v>
      </c>
      <c r="K364" s="2" t="s">
        <v>390</v>
      </c>
      <c r="L364" t="s">
        <v>59</v>
      </c>
      <c r="M364" t="s">
        <v>78</v>
      </c>
      <c r="N364" t="s">
        <v>52</v>
      </c>
      <c r="O364">
        <v>3</v>
      </c>
      <c r="P364" t="s">
        <v>44</v>
      </c>
      <c r="Q364">
        <v>17</v>
      </c>
      <c r="R364" s="15">
        <v>293685</v>
      </c>
      <c r="S364" s="15">
        <v>756000</v>
      </c>
      <c r="T364" s="16">
        <v>4662315</v>
      </c>
      <c r="U364" t="str">
        <f t="shared" si="10"/>
        <v>no</v>
      </c>
      <c r="V364" t="str">
        <f t="shared" si="11"/>
        <v>standard</v>
      </c>
    </row>
    <row r="365" spans="1:22" x14ac:dyDescent="0.3">
      <c r="A365">
        <v>1364</v>
      </c>
      <c r="B365" t="s">
        <v>20</v>
      </c>
      <c r="C365" t="s">
        <v>34</v>
      </c>
      <c r="D365">
        <v>58</v>
      </c>
      <c r="E365" t="s">
        <v>22</v>
      </c>
      <c r="F365" t="s">
        <v>36</v>
      </c>
      <c r="G365" t="s">
        <v>105</v>
      </c>
      <c r="H365" t="s">
        <v>106</v>
      </c>
      <c r="I365" t="s">
        <v>39</v>
      </c>
      <c r="J365" t="s">
        <v>27</v>
      </c>
      <c r="K365" s="2" t="s">
        <v>391</v>
      </c>
      <c r="L365" t="s">
        <v>71</v>
      </c>
      <c r="M365" t="s">
        <v>78</v>
      </c>
      <c r="N365" t="s">
        <v>52</v>
      </c>
      <c r="O365">
        <v>4</v>
      </c>
      <c r="P365" t="s">
        <v>86</v>
      </c>
      <c r="Q365">
        <v>14</v>
      </c>
      <c r="R365" s="15">
        <v>105155</v>
      </c>
      <c r="S365" s="15">
        <v>756000</v>
      </c>
      <c r="T365" s="16">
        <v>4850845</v>
      </c>
      <c r="U365" t="str">
        <f t="shared" si="10"/>
        <v>no</v>
      </c>
      <c r="V365" t="str">
        <f t="shared" si="11"/>
        <v>standard</v>
      </c>
    </row>
    <row r="366" spans="1:22" x14ac:dyDescent="0.3">
      <c r="A366">
        <v>1365</v>
      </c>
      <c r="B366" t="s">
        <v>72</v>
      </c>
      <c r="C366" t="s">
        <v>21</v>
      </c>
      <c r="D366">
        <v>35</v>
      </c>
      <c r="E366" t="s">
        <v>112</v>
      </c>
      <c r="F366" t="s">
        <v>62</v>
      </c>
      <c r="G366" t="s">
        <v>56</v>
      </c>
      <c r="H366" t="s">
        <v>57</v>
      </c>
      <c r="I366" t="s">
        <v>39</v>
      </c>
      <c r="J366" t="s">
        <v>40</v>
      </c>
      <c r="K366" s="2" t="s">
        <v>304</v>
      </c>
      <c r="L366" t="s">
        <v>59</v>
      </c>
      <c r="M366" t="s">
        <v>51</v>
      </c>
      <c r="N366" t="s">
        <v>31</v>
      </c>
      <c r="O366">
        <v>2</v>
      </c>
      <c r="P366" t="s">
        <v>53</v>
      </c>
      <c r="Q366">
        <v>20</v>
      </c>
      <c r="R366" s="15">
        <v>274965</v>
      </c>
      <c r="S366" s="15">
        <v>936000</v>
      </c>
      <c r="T366" s="16">
        <v>5861035</v>
      </c>
      <c r="U366" t="str">
        <f t="shared" si="10"/>
        <v>no</v>
      </c>
      <c r="V366" t="str">
        <f t="shared" si="11"/>
        <v>standard</v>
      </c>
    </row>
    <row r="367" spans="1:22" x14ac:dyDescent="0.3">
      <c r="A367">
        <v>1366</v>
      </c>
      <c r="B367" t="s">
        <v>99</v>
      </c>
      <c r="C367" t="s">
        <v>21</v>
      </c>
      <c r="D367">
        <v>53</v>
      </c>
      <c r="E367" t="s">
        <v>35</v>
      </c>
      <c r="F367" t="s">
        <v>36</v>
      </c>
      <c r="G367" t="s">
        <v>74</v>
      </c>
      <c r="H367" t="s">
        <v>75</v>
      </c>
      <c r="I367" t="s">
        <v>26</v>
      </c>
      <c r="J367" t="s">
        <v>87</v>
      </c>
      <c r="K367" s="2" t="s">
        <v>392</v>
      </c>
      <c r="L367" t="s">
        <v>42</v>
      </c>
      <c r="M367" t="s">
        <v>94</v>
      </c>
      <c r="N367" t="s">
        <v>31</v>
      </c>
      <c r="O367">
        <v>3</v>
      </c>
      <c r="P367" t="s">
        <v>86</v>
      </c>
      <c r="Q367">
        <v>20</v>
      </c>
      <c r="R367" s="15">
        <v>89911</v>
      </c>
      <c r="S367" s="15">
        <v>1764000</v>
      </c>
      <c r="T367" s="16">
        <v>11474089</v>
      </c>
      <c r="U367" t="str">
        <f t="shared" si="10"/>
        <v>yes</v>
      </c>
      <c r="V367" t="str">
        <f t="shared" si="11"/>
        <v>premium</v>
      </c>
    </row>
    <row r="368" spans="1:22" x14ac:dyDescent="0.3">
      <c r="A368">
        <v>1367</v>
      </c>
      <c r="B368" t="s">
        <v>45</v>
      </c>
      <c r="C368" t="s">
        <v>21</v>
      </c>
      <c r="D368">
        <v>55</v>
      </c>
      <c r="E368" t="s">
        <v>118</v>
      </c>
      <c r="F368" t="s">
        <v>36</v>
      </c>
      <c r="G368" t="s">
        <v>74</v>
      </c>
      <c r="H368" t="s">
        <v>75</v>
      </c>
      <c r="I368" t="s">
        <v>39</v>
      </c>
      <c r="J368" t="s">
        <v>49</v>
      </c>
      <c r="K368" s="2" t="s">
        <v>393</v>
      </c>
      <c r="L368" t="s">
        <v>71</v>
      </c>
      <c r="M368" t="s">
        <v>30</v>
      </c>
      <c r="N368" t="s">
        <v>31</v>
      </c>
      <c r="O368">
        <v>4</v>
      </c>
      <c r="P368" t="s">
        <v>53</v>
      </c>
      <c r="Q368">
        <v>12</v>
      </c>
      <c r="R368" s="15">
        <v>161841</v>
      </c>
      <c r="S368" s="15">
        <v>1350000</v>
      </c>
      <c r="T368" s="16">
        <v>8688159</v>
      </c>
      <c r="U368" t="str">
        <f t="shared" si="10"/>
        <v>no</v>
      </c>
      <c r="V368" t="str">
        <f t="shared" si="11"/>
        <v>standard</v>
      </c>
    </row>
    <row r="369" spans="1:22" x14ac:dyDescent="0.3">
      <c r="A369">
        <v>1368</v>
      </c>
      <c r="B369" t="s">
        <v>60</v>
      </c>
      <c r="C369" t="s">
        <v>34</v>
      </c>
      <c r="D369">
        <v>53</v>
      </c>
      <c r="E369" t="s">
        <v>61</v>
      </c>
      <c r="F369" t="s">
        <v>55</v>
      </c>
      <c r="G369" t="s">
        <v>47</v>
      </c>
      <c r="H369" t="s">
        <v>25</v>
      </c>
      <c r="I369" t="s">
        <v>26</v>
      </c>
      <c r="J369" t="s">
        <v>87</v>
      </c>
      <c r="K369" s="2" t="s">
        <v>394</v>
      </c>
      <c r="L369" t="s">
        <v>71</v>
      </c>
      <c r="M369" t="s">
        <v>78</v>
      </c>
      <c r="N369" t="s">
        <v>31</v>
      </c>
      <c r="O369">
        <v>4</v>
      </c>
      <c r="P369" t="s">
        <v>44</v>
      </c>
      <c r="Q369">
        <v>14</v>
      </c>
      <c r="R369" s="15">
        <v>185595</v>
      </c>
      <c r="S369" s="15">
        <v>2250000</v>
      </c>
      <c r="T369" s="16">
        <v>14564405</v>
      </c>
      <c r="U369" t="str">
        <f t="shared" si="10"/>
        <v>no</v>
      </c>
      <c r="V369" t="str">
        <f t="shared" si="11"/>
        <v>premium</v>
      </c>
    </row>
    <row r="370" spans="1:22" x14ac:dyDescent="0.3">
      <c r="A370">
        <v>1369</v>
      </c>
      <c r="B370" t="s">
        <v>108</v>
      </c>
      <c r="C370" t="s">
        <v>34</v>
      </c>
      <c r="D370">
        <v>28</v>
      </c>
      <c r="E370" t="s">
        <v>82</v>
      </c>
      <c r="F370" t="s">
        <v>23</v>
      </c>
      <c r="G370" t="s">
        <v>105</v>
      </c>
      <c r="H370" t="s">
        <v>106</v>
      </c>
      <c r="I370" t="s">
        <v>26</v>
      </c>
      <c r="J370" t="s">
        <v>27</v>
      </c>
      <c r="K370" s="2" t="s">
        <v>394</v>
      </c>
      <c r="L370" t="s">
        <v>42</v>
      </c>
      <c r="M370" t="s">
        <v>94</v>
      </c>
      <c r="N370" t="s">
        <v>52</v>
      </c>
      <c r="O370">
        <v>2</v>
      </c>
      <c r="P370" t="s">
        <v>53</v>
      </c>
      <c r="Q370">
        <v>19</v>
      </c>
      <c r="R370" s="15">
        <v>138842</v>
      </c>
      <c r="S370" s="15">
        <v>1098000</v>
      </c>
      <c r="T370" s="16">
        <v>7059158</v>
      </c>
      <c r="U370" t="str">
        <f t="shared" si="10"/>
        <v>no</v>
      </c>
      <c r="V370" t="str">
        <f t="shared" si="11"/>
        <v>standard</v>
      </c>
    </row>
    <row r="371" spans="1:22" x14ac:dyDescent="0.3">
      <c r="A371">
        <v>1370</v>
      </c>
      <c r="B371" t="s">
        <v>99</v>
      </c>
      <c r="C371" t="s">
        <v>21</v>
      </c>
      <c r="D371">
        <v>28</v>
      </c>
      <c r="E371" t="s">
        <v>68</v>
      </c>
      <c r="F371" t="s">
        <v>55</v>
      </c>
      <c r="G371" t="s">
        <v>115</v>
      </c>
      <c r="H371" t="s">
        <v>106</v>
      </c>
      <c r="I371" t="s">
        <v>39</v>
      </c>
      <c r="J371" t="s">
        <v>87</v>
      </c>
      <c r="K371" s="2" t="s">
        <v>376</v>
      </c>
      <c r="L371" t="s">
        <v>59</v>
      </c>
      <c r="M371" t="s">
        <v>94</v>
      </c>
      <c r="N371" t="s">
        <v>52</v>
      </c>
      <c r="O371">
        <v>2</v>
      </c>
      <c r="P371" t="s">
        <v>53</v>
      </c>
      <c r="Q371">
        <v>19</v>
      </c>
      <c r="R371" s="15">
        <v>259423</v>
      </c>
      <c r="S371" s="15">
        <v>846000</v>
      </c>
      <c r="T371" s="16">
        <v>5286577</v>
      </c>
      <c r="U371" t="str">
        <f t="shared" si="10"/>
        <v>no</v>
      </c>
      <c r="V371" t="str">
        <f t="shared" si="11"/>
        <v>standard</v>
      </c>
    </row>
    <row r="372" spans="1:22" x14ac:dyDescent="0.3">
      <c r="A372">
        <v>1371</v>
      </c>
      <c r="B372" t="s">
        <v>45</v>
      </c>
      <c r="C372" t="s">
        <v>21</v>
      </c>
      <c r="D372">
        <v>59</v>
      </c>
      <c r="E372" t="s">
        <v>73</v>
      </c>
      <c r="F372" t="s">
        <v>23</v>
      </c>
      <c r="G372" t="s">
        <v>74</v>
      </c>
      <c r="H372" t="s">
        <v>75</v>
      </c>
      <c r="I372" t="s">
        <v>39</v>
      </c>
      <c r="J372" t="s">
        <v>87</v>
      </c>
      <c r="K372" s="2" t="s">
        <v>361</v>
      </c>
      <c r="L372" t="s">
        <v>66</v>
      </c>
      <c r="M372" t="s">
        <v>51</v>
      </c>
      <c r="N372" t="s">
        <v>31</v>
      </c>
      <c r="O372">
        <v>2</v>
      </c>
      <c r="P372" t="s">
        <v>32</v>
      </c>
      <c r="Q372">
        <v>16</v>
      </c>
      <c r="R372" s="15">
        <v>233109</v>
      </c>
      <c r="S372" s="15">
        <v>1224000</v>
      </c>
      <c r="T372" s="16">
        <v>7790891</v>
      </c>
      <c r="U372" t="str">
        <f t="shared" si="10"/>
        <v>no</v>
      </c>
      <c r="V372" t="str">
        <f t="shared" si="11"/>
        <v>standard</v>
      </c>
    </row>
    <row r="373" spans="1:22" x14ac:dyDescent="0.3">
      <c r="A373">
        <v>1372</v>
      </c>
      <c r="B373" t="s">
        <v>114</v>
      </c>
      <c r="C373" t="s">
        <v>21</v>
      </c>
      <c r="D373">
        <v>30</v>
      </c>
      <c r="E373" t="s">
        <v>112</v>
      </c>
      <c r="F373" t="s">
        <v>55</v>
      </c>
      <c r="G373" t="s">
        <v>37</v>
      </c>
      <c r="H373" t="s">
        <v>38</v>
      </c>
      <c r="I373" t="s">
        <v>26</v>
      </c>
      <c r="J373" t="s">
        <v>27</v>
      </c>
      <c r="K373" s="2" t="s">
        <v>395</v>
      </c>
      <c r="L373" t="s">
        <v>71</v>
      </c>
      <c r="M373" t="s">
        <v>78</v>
      </c>
      <c r="N373" t="s">
        <v>52</v>
      </c>
      <c r="O373">
        <v>2</v>
      </c>
      <c r="P373" t="s">
        <v>53</v>
      </c>
      <c r="Q373">
        <v>22</v>
      </c>
      <c r="R373" s="15">
        <v>76745</v>
      </c>
      <c r="S373" s="15">
        <v>936000</v>
      </c>
      <c r="T373" s="16">
        <v>6059255</v>
      </c>
      <c r="U373" t="str">
        <f t="shared" si="10"/>
        <v>no</v>
      </c>
      <c r="V373" t="str">
        <f t="shared" si="11"/>
        <v>standard</v>
      </c>
    </row>
    <row r="374" spans="1:22" x14ac:dyDescent="0.3">
      <c r="A374">
        <v>1373</v>
      </c>
      <c r="B374" t="s">
        <v>20</v>
      </c>
      <c r="C374" t="s">
        <v>34</v>
      </c>
      <c r="D374">
        <v>49</v>
      </c>
      <c r="E374" t="s">
        <v>118</v>
      </c>
      <c r="F374" t="s">
        <v>23</v>
      </c>
      <c r="G374" t="s">
        <v>91</v>
      </c>
      <c r="H374" t="s">
        <v>25</v>
      </c>
      <c r="I374" t="s">
        <v>26</v>
      </c>
      <c r="J374" t="s">
        <v>27</v>
      </c>
      <c r="K374" s="2" t="s">
        <v>396</v>
      </c>
      <c r="L374" t="s">
        <v>29</v>
      </c>
      <c r="M374" t="s">
        <v>43</v>
      </c>
      <c r="N374" t="s">
        <v>31</v>
      </c>
      <c r="O374">
        <v>2</v>
      </c>
      <c r="P374" t="s">
        <v>86</v>
      </c>
      <c r="Q374">
        <v>8</v>
      </c>
      <c r="R374" s="15">
        <v>227775</v>
      </c>
      <c r="S374" s="15">
        <v>1350000</v>
      </c>
      <c r="T374" s="16">
        <v>8622225</v>
      </c>
      <c r="U374" t="str">
        <f t="shared" si="10"/>
        <v>no</v>
      </c>
      <c r="V374" t="str">
        <f t="shared" si="11"/>
        <v>standard</v>
      </c>
    </row>
    <row r="375" spans="1:22" x14ac:dyDescent="0.3">
      <c r="A375">
        <v>1374</v>
      </c>
      <c r="B375" t="s">
        <v>95</v>
      </c>
      <c r="C375" t="s">
        <v>34</v>
      </c>
      <c r="D375">
        <v>42</v>
      </c>
      <c r="E375" t="s">
        <v>90</v>
      </c>
      <c r="F375" t="s">
        <v>23</v>
      </c>
      <c r="G375" t="s">
        <v>91</v>
      </c>
      <c r="H375" t="s">
        <v>25</v>
      </c>
      <c r="I375" t="s">
        <v>48</v>
      </c>
      <c r="J375" t="s">
        <v>27</v>
      </c>
      <c r="K375" s="2" t="s">
        <v>397</v>
      </c>
      <c r="L375" t="s">
        <v>59</v>
      </c>
      <c r="M375" t="s">
        <v>30</v>
      </c>
      <c r="N375" t="s">
        <v>31</v>
      </c>
      <c r="O375">
        <v>2</v>
      </c>
      <c r="P375" t="s">
        <v>44</v>
      </c>
      <c r="Q375">
        <v>20</v>
      </c>
      <c r="R375" s="15">
        <v>145727</v>
      </c>
      <c r="S375" s="15">
        <v>702000</v>
      </c>
      <c r="T375" s="16">
        <v>4456273</v>
      </c>
      <c r="U375" t="str">
        <f t="shared" si="10"/>
        <v>no</v>
      </c>
      <c r="V375" t="str">
        <f t="shared" si="11"/>
        <v>budget</v>
      </c>
    </row>
    <row r="376" spans="1:22" x14ac:dyDescent="0.3">
      <c r="A376">
        <v>1375</v>
      </c>
      <c r="B376" t="s">
        <v>104</v>
      </c>
      <c r="C376" t="s">
        <v>34</v>
      </c>
      <c r="D376">
        <v>58</v>
      </c>
      <c r="E376" t="s">
        <v>118</v>
      </c>
      <c r="F376" t="s">
        <v>62</v>
      </c>
      <c r="G376" t="s">
        <v>56</v>
      </c>
      <c r="H376" t="s">
        <v>57</v>
      </c>
      <c r="I376" t="s">
        <v>26</v>
      </c>
      <c r="J376" t="s">
        <v>27</v>
      </c>
      <c r="K376" s="2" t="s">
        <v>398</v>
      </c>
      <c r="L376" t="s">
        <v>66</v>
      </c>
      <c r="M376" t="s">
        <v>78</v>
      </c>
      <c r="N376" t="s">
        <v>52</v>
      </c>
      <c r="O376">
        <v>5</v>
      </c>
      <c r="P376" t="s">
        <v>86</v>
      </c>
      <c r="Q376">
        <v>7</v>
      </c>
      <c r="R376" s="15">
        <v>125674</v>
      </c>
      <c r="S376" s="15">
        <v>1350000</v>
      </c>
      <c r="T376" s="16">
        <v>8724326</v>
      </c>
      <c r="U376" t="str">
        <f t="shared" si="10"/>
        <v>no</v>
      </c>
      <c r="V376" t="str">
        <f t="shared" si="11"/>
        <v>standard</v>
      </c>
    </row>
    <row r="377" spans="1:22" x14ac:dyDescent="0.3">
      <c r="A377">
        <v>1376</v>
      </c>
      <c r="B377" t="s">
        <v>81</v>
      </c>
      <c r="C377" t="s">
        <v>21</v>
      </c>
      <c r="D377">
        <v>38</v>
      </c>
      <c r="E377" t="s">
        <v>118</v>
      </c>
      <c r="F377" t="s">
        <v>36</v>
      </c>
      <c r="G377" t="s">
        <v>37</v>
      </c>
      <c r="H377" t="s">
        <v>38</v>
      </c>
      <c r="I377" t="s">
        <v>26</v>
      </c>
      <c r="J377" t="s">
        <v>49</v>
      </c>
      <c r="K377" s="2" t="s">
        <v>289</v>
      </c>
      <c r="L377" t="s">
        <v>42</v>
      </c>
      <c r="M377" t="s">
        <v>43</v>
      </c>
      <c r="N377" t="s">
        <v>52</v>
      </c>
      <c r="O377">
        <v>5</v>
      </c>
      <c r="P377" t="s">
        <v>53</v>
      </c>
      <c r="Q377">
        <v>17</v>
      </c>
      <c r="R377" s="15">
        <v>175446</v>
      </c>
      <c r="S377" s="15">
        <v>1350000</v>
      </c>
      <c r="T377" s="16">
        <v>8674554</v>
      </c>
      <c r="U377" t="str">
        <f t="shared" si="10"/>
        <v>no</v>
      </c>
      <c r="V377" t="str">
        <f t="shared" si="11"/>
        <v>standard</v>
      </c>
    </row>
    <row r="378" spans="1:22" x14ac:dyDescent="0.3">
      <c r="A378">
        <v>1377</v>
      </c>
      <c r="B378" t="s">
        <v>33</v>
      </c>
      <c r="C378" t="s">
        <v>21</v>
      </c>
      <c r="D378">
        <v>45</v>
      </c>
      <c r="E378" t="s">
        <v>61</v>
      </c>
      <c r="F378" t="s">
        <v>55</v>
      </c>
      <c r="G378" t="s">
        <v>91</v>
      </c>
      <c r="H378" t="s">
        <v>25</v>
      </c>
      <c r="I378" t="s">
        <v>39</v>
      </c>
      <c r="J378" t="s">
        <v>87</v>
      </c>
      <c r="K378" s="2" t="s">
        <v>399</v>
      </c>
      <c r="L378" t="s">
        <v>42</v>
      </c>
      <c r="M378" t="s">
        <v>94</v>
      </c>
      <c r="N378" t="s">
        <v>52</v>
      </c>
      <c r="O378">
        <v>5</v>
      </c>
      <c r="P378" t="s">
        <v>32</v>
      </c>
      <c r="Q378">
        <v>18</v>
      </c>
      <c r="R378" s="15">
        <v>262840</v>
      </c>
      <c r="S378" s="15">
        <v>2250000</v>
      </c>
      <c r="T378" s="16">
        <v>14487160</v>
      </c>
      <c r="U378" t="str">
        <f t="shared" si="10"/>
        <v>no</v>
      </c>
      <c r="V378" t="str">
        <f t="shared" si="11"/>
        <v>premium</v>
      </c>
    </row>
    <row r="379" spans="1:22" x14ac:dyDescent="0.3">
      <c r="A379">
        <v>1378</v>
      </c>
      <c r="B379" t="s">
        <v>33</v>
      </c>
      <c r="C379" t="s">
        <v>34</v>
      </c>
      <c r="D379">
        <v>44</v>
      </c>
      <c r="E379" t="s">
        <v>82</v>
      </c>
      <c r="F379" t="s">
        <v>55</v>
      </c>
      <c r="G379" t="s">
        <v>24</v>
      </c>
      <c r="H379" t="s">
        <v>25</v>
      </c>
      <c r="I379" t="s">
        <v>76</v>
      </c>
      <c r="J379" t="s">
        <v>40</v>
      </c>
      <c r="K379" s="2" t="s">
        <v>208</v>
      </c>
      <c r="L379" t="s">
        <v>59</v>
      </c>
      <c r="M379" t="s">
        <v>78</v>
      </c>
      <c r="N379" t="s">
        <v>31</v>
      </c>
      <c r="O379">
        <v>5</v>
      </c>
      <c r="P379" t="s">
        <v>32</v>
      </c>
      <c r="Q379">
        <v>19</v>
      </c>
      <c r="R379" s="15">
        <v>292762</v>
      </c>
      <c r="S379" s="15">
        <v>1098000</v>
      </c>
      <c r="T379" s="16">
        <v>6905238</v>
      </c>
      <c r="U379" t="str">
        <f t="shared" si="10"/>
        <v>no</v>
      </c>
      <c r="V379" t="str">
        <f t="shared" si="11"/>
        <v>standard</v>
      </c>
    </row>
    <row r="380" spans="1:22" x14ac:dyDescent="0.3">
      <c r="A380">
        <v>1379</v>
      </c>
      <c r="B380" t="s">
        <v>81</v>
      </c>
      <c r="C380" t="s">
        <v>34</v>
      </c>
      <c r="D380">
        <v>56</v>
      </c>
      <c r="E380" t="s">
        <v>22</v>
      </c>
      <c r="F380" t="s">
        <v>62</v>
      </c>
      <c r="G380" t="s">
        <v>74</v>
      </c>
      <c r="H380" t="s">
        <v>75</v>
      </c>
      <c r="I380" t="s">
        <v>39</v>
      </c>
      <c r="J380" t="s">
        <v>27</v>
      </c>
      <c r="K380" s="2" t="s">
        <v>400</v>
      </c>
      <c r="L380" t="s">
        <v>42</v>
      </c>
      <c r="M380" t="s">
        <v>30</v>
      </c>
      <c r="N380" t="s">
        <v>52</v>
      </c>
      <c r="O380">
        <v>2</v>
      </c>
      <c r="P380" t="s">
        <v>32</v>
      </c>
      <c r="Q380">
        <v>20</v>
      </c>
      <c r="R380" s="15">
        <v>291058</v>
      </c>
      <c r="S380" s="15">
        <v>756000</v>
      </c>
      <c r="T380" s="16">
        <v>4664942</v>
      </c>
      <c r="U380" t="str">
        <f t="shared" si="10"/>
        <v>no</v>
      </c>
      <c r="V380" t="str">
        <f t="shared" si="11"/>
        <v>standard</v>
      </c>
    </row>
    <row r="381" spans="1:22" x14ac:dyDescent="0.3">
      <c r="A381">
        <v>1380</v>
      </c>
      <c r="B381" t="s">
        <v>101</v>
      </c>
      <c r="C381" t="s">
        <v>21</v>
      </c>
      <c r="D381">
        <v>30</v>
      </c>
      <c r="E381" t="s">
        <v>118</v>
      </c>
      <c r="F381" t="s">
        <v>62</v>
      </c>
      <c r="G381" t="s">
        <v>24</v>
      </c>
      <c r="H381" t="s">
        <v>25</v>
      </c>
      <c r="I381" t="s">
        <v>97</v>
      </c>
      <c r="J381" t="s">
        <v>49</v>
      </c>
      <c r="K381" s="2" t="s">
        <v>401</v>
      </c>
      <c r="L381" t="s">
        <v>42</v>
      </c>
      <c r="M381" t="s">
        <v>43</v>
      </c>
      <c r="N381" t="s">
        <v>31</v>
      </c>
      <c r="O381">
        <v>3</v>
      </c>
      <c r="P381" t="s">
        <v>86</v>
      </c>
      <c r="Q381">
        <v>24</v>
      </c>
      <c r="R381" s="15">
        <v>252036</v>
      </c>
      <c r="S381" s="15">
        <v>1350000</v>
      </c>
      <c r="T381" s="16">
        <v>8597964</v>
      </c>
      <c r="U381" t="str">
        <f t="shared" si="10"/>
        <v>no</v>
      </c>
      <c r="V381" t="str">
        <f t="shared" si="11"/>
        <v>standard</v>
      </c>
    </row>
    <row r="382" spans="1:22" x14ac:dyDescent="0.3">
      <c r="A382">
        <v>1381</v>
      </c>
      <c r="B382" t="s">
        <v>95</v>
      </c>
      <c r="C382" t="s">
        <v>34</v>
      </c>
      <c r="D382">
        <v>29</v>
      </c>
      <c r="E382" t="s">
        <v>68</v>
      </c>
      <c r="F382" t="s">
        <v>55</v>
      </c>
      <c r="G382" t="s">
        <v>105</v>
      </c>
      <c r="H382" t="s">
        <v>106</v>
      </c>
      <c r="I382" t="s">
        <v>76</v>
      </c>
      <c r="J382" t="s">
        <v>49</v>
      </c>
      <c r="K382" s="2" t="s">
        <v>262</v>
      </c>
      <c r="L382" t="s">
        <v>59</v>
      </c>
      <c r="M382" t="s">
        <v>78</v>
      </c>
      <c r="N382" t="s">
        <v>52</v>
      </c>
      <c r="O382">
        <v>2</v>
      </c>
      <c r="P382" t="s">
        <v>86</v>
      </c>
      <c r="Q382">
        <v>5</v>
      </c>
      <c r="R382" s="15">
        <v>152323</v>
      </c>
      <c r="S382" s="15">
        <v>846000</v>
      </c>
      <c r="T382" s="16">
        <v>5393677</v>
      </c>
      <c r="U382" t="str">
        <f t="shared" si="10"/>
        <v>no</v>
      </c>
      <c r="V382" t="str">
        <f t="shared" si="11"/>
        <v>standard</v>
      </c>
    </row>
    <row r="383" spans="1:22" x14ac:dyDescent="0.3">
      <c r="A383">
        <v>1382</v>
      </c>
      <c r="B383" t="s">
        <v>79</v>
      </c>
      <c r="C383" t="s">
        <v>21</v>
      </c>
      <c r="D383">
        <v>33</v>
      </c>
      <c r="E383" t="s">
        <v>22</v>
      </c>
      <c r="F383" t="s">
        <v>62</v>
      </c>
      <c r="G383" t="s">
        <v>24</v>
      </c>
      <c r="H383" t="s">
        <v>25</v>
      </c>
      <c r="I383" t="s">
        <v>26</v>
      </c>
      <c r="J383" t="s">
        <v>87</v>
      </c>
      <c r="K383" s="2" t="s">
        <v>346</v>
      </c>
      <c r="L383" t="s">
        <v>66</v>
      </c>
      <c r="M383" t="s">
        <v>43</v>
      </c>
      <c r="N383" t="s">
        <v>31</v>
      </c>
      <c r="O383">
        <v>2</v>
      </c>
      <c r="P383" t="s">
        <v>86</v>
      </c>
      <c r="Q383">
        <v>22</v>
      </c>
      <c r="R383" s="15">
        <v>77381</v>
      </c>
      <c r="S383" s="15">
        <v>756000</v>
      </c>
      <c r="T383" s="16">
        <v>4878619</v>
      </c>
      <c r="U383" t="str">
        <f t="shared" si="10"/>
        <v>no</v>
      </c>
      <c r="V383" t="str">
        <f t="shared" si="11"/>
        <v>standard</v>
      </c>
    </row>
    <row r="384" spans="1:22" x14ac:dyDescent="0.3">
      <c r="A384">
        <v>1383</v>
      </c>
      <c r="B384" t="s">
        <v>81</v>
      </c>
      <c r="C384" t="s">
        <v>34</v>
      </c>
      <c r="D384">
        <v>56</v>
      </c>
      <c r="E384" t="s">
        <v>82</v>
      </c>
      <c r="F384" t="s">
        <v>23</v>
      </c>
      <c r="G384" t="s">
        <v>24</v>
      </c>
      <c r="H384" t="s">
        <v>25</v>
      </c>
      <c r="I384" t="s">
        <v>26</v>
      </c>
      <c r="J384" t="s">
        <v>87</v>
      </c>
      <c r="K384" s="2" t="s">
        <v>350</v>
      </c>
      <c r="L384" t="s">
        <v>66</v>
      </c>
      <c r="M384" t="s">
        <v>43</v>
      </c>
      <c r="N384" t="s">
        <v>31</v>
      </c>
      <c r="O384">
        <v>2</v>
      </c>
      <c r="P384" t="s">
        <v>86</v>
      </c>
      <c r="Q384">
        <v>12</v>
      </c>
      <c r="R384" s="15">
        <v>246177</v>
      </c>
      <c r="S384" s="15">
        <v>1098000</v>
      </c>
      <c r="T384" s="16">
        <v>6951823</v>
      </c>
      <c r="U384" t="str">
        <f t="shared" si="10"/>
        <v>no</v>
      </c>
      <c r="V384" t="str">
        <f t="shared" si="11"/>
        <v>standard</v>
      </c>
    </row>
    <row r="385" spans="1:22" x14ac:dyDescent="0.3">
      <c r="A385">
        <v>1384</v>
      </c>
      <c r="B385" t="s">
        <v>101</v>
      </c>
      <c r="C385" t="s">
        <v>21</v>
      </c>
      <c r="D385">
        <v>45</v>
      </c>
      <c r="E385" t="s">
        <v>118</v>
      </c>
      <c r="F385" t="s">
        <v>55</v>
      </c>
      <c r="G385" t="s">
        <v>105</v>
      </c>
      <c r="H385" t="s">
        <v>106</v>
      </c>
      <c r="I385" t="s">
        <v>97</v>
      </c>
      <c r="J385" t="s">
        <v>27</v>
      </c>
      <c r="K385" s="2" t="s">
        <v>402</v>
      </c>
      <c r="L385" t="s">
        <v>66</v>
      </c>
      <c r="M385" t="s">
        <v>43</v>
      </c>
      <c r="N385" t="s">
        <v>52</v>
      </c>
      <c r="O385">
        <v>3</v>
      </c>
      <c r="P385" t="s">
        <v>86</v>
      </c>
      <c r="Q385">
        <v>14</v>
      </c>
      <c r="R385" s="15">
        <v>150013</v>
      </c>
      <c r="S385" s="15">
        <v>1350000</v>
      </c>
      <c r="T385" s="16">
        <v>8699987</v>
      </c>
      <c r="U385" t="str">
        <f t="shared" si="10"/>
        <v>no</v>
      </c>
      <c r="V385" t="str">
        <f t="shared" si="11"/>
        <v>standard</v>
      </c>
    </row>
    <row r="386" spans="1:22" x14ac:dyDescent="0.3">
      <c r="A386">
        <v>1385</v>
      </c>
      <c r="B386" t="s">
        <v>20</v>
      </c>
      <c r="C386" t="s">
        <v>34</v>
      </c>
      <c r="D386">
        <v>39</v>
      </c>
      <c r="E386" t="s">
        <v>90</v>
      </c>
      <c r="F386" t="s">
        <v>36</v>
      </c>
      <c r="G386" t="s">
        <v>56</v>
      </c>
      <c r="H386" t="s">
        <v>57</v>
      </c>
      <c r="I386" t="s">
        <v>26</v>
      </c>
      <c r="J386" t="s">
        <v>40</v>
      </c>
      <c r="K386" s="2" t="s">
        <v>403</v>
      </c>
      <c r="L386" t="s">
        <v>29</v>
      </c>
      <c r="M386" t="s">
        <v>43</v>
      </c>
      <c r="N386" t="s">
        <v>52</v>
      </c>
      <c r="O386">
        <v>3</v>
      </c>
      <c r="P386" t="s">
        <v>53</v>
      </c>
      <c r="Q386">
        <v>9</v>
      </c>
      <c r="R386" s="15">
        <v>262801</v>
      </c>
      <c r="S386" s="15">
        <v>702000</v>
      </c>
      <c r="T386" s="16">
        <v>4339199</v>
      </c>
      <c r="U386" t="str">
        <f t="shared" si="10"/>
        <v>no</v>
      </c>
      <c r="V386" t="str">
        <f t="shared" si="11"/>
        <v>budget</v>
      </c>
    </row>
    <row r="387" spans="1:22" x14ac:dyDescent="0.3">
      <c r="A387">
        <v>1386</v>
      </c>
      <c r="B387" t="s">
        <v>104</v>
      </c>
      <c r="C387" t="s">
        <v>34</v>
      </c>
      <c r="D387">
        <v>30</v>
      </c>
      <c r="E387" t="s">
        <v>118</v>
      </c>
      <c r="F387" t="s">
        <v>23</v>
      </c>
      <c r="G387" t="s">
        <v>24</v>
      </c>
      <c r="H387" t="s">
        <v>25</v>
      </c>
      <c r="I387" t="s">
        <v>39</v>
      </c>
      <c r="J387" t="s">
        <v>40</v>
      </c>
      <c r="K387" s="2" t="s">
        <v>364</v>
      </c>
      <c r="L387" t="s">
        <v>29</v>
      </c>
      <c r="M387" t="s">
        <v>78</v>
      </c>
      <c r="N387" t="s">
        <v>52</v>
      </c>
      <c r="O387">
        <v>3</v>
      </c>
      <c r="P387" t="s">
        <v>44</v>
      </c>
      <c r="Q387">
        <v>15</v>
      </c>
      <c r="R387" s="15">
        <v>128976</v>
      </c>
      <c r="S387" s="15">
        <v>1350000</v>
      </c>
      <c r="T387" s="16">
        <v>8721024</v>
      </c>
      <c r="U387" t="str">
        <f t="shared" ref="U387:U401" si="12">IF(OR(E387="AMG C43",E387="AMG G63"),"yes","no")</f>
        <v>no</v>
      </c>
      <c r="V387" t="str">
        <f t="shared" ref="V387:V401" si="13">IF(T387&gt;=20000000,"ultra premium",IF(T387&gt;=10000000,"premium",IF(T387&gt;=4500000,"standard","budget")))</f>
        <v>standard</v>
      </c>
    </row>
    <row r="388" spans="1:22" x14ac:dyDescent="0.3">
      <c r="A388">
        <v>1387</v>
      </c>
      <c r="B388" t="s">
        <v>81</v>
      </c>
      <c r="C388" t="s">
        <v>21</v>
      </c>
      <c r="D388">
        <v>28</v>
      </c>
      <c r="E388" t="s">
        <v>112</v>
      </c>
      <c r="F388" t="s">
        <v>62</v>
      </c>
      <c r="G388" t="s">
        <v>105</v>
      </c>
      <c r="H388" t="s">
        <v>106</v>
      </c>
      <c r="I388" t="s">
        <v>76</v>
      </c>
      <c r="J388" t="s">
        <v>87</v>
      </c>
      <c r="K388" s="2" t="s">
        <v>314</v>
      </c>
      <c r="L388" t="s">
        <v>29</v>
      </c>
      <c r="M388" t="s">
        <v>51</v>
      </c>
      <c r="N388" t="s">
        <v>31</v>
      </c>
      <c r="O388">
        <v>3</v>
      </c>
      <c r="P388" t="s">
        <v>86</v>
      </c>
      <c r="Q388">
        <v>13</v>
      </c>
      <c r="R388" s="15">
        <v>184503</v>
      </c>
      <c r="S388" s="15">
        <v>936000</v>
      </c>
      <c r="T388" s="16">
        <v>5951497</v>
      </c>
      <c r="U388" t="str">
        <f t="shared" si="12"/>
        <v>no</v>
      </c>
      <c r="V388" t="str">
        <f t="shared" si="13"/>
        <v>standard</v>
      </c>
    </row>
    <row r="389" spans="1:22" x14ac:dyDescent="0.3">
      <c r="A389">
        <v>1388</v>
      </c>
      <c r="B389" t="s">
        <v>20</v>
      </c>
      <c r="C389" t="s">
        <v>21</v>
      </c>
      <c r="D389">
        <v>60</v>
      </c>
      <c r="E389" t="s">
        <v>90</v>
      </c>
      <c r="F389" t="s">
        <v>55</v>
      </c>
      <c r="G389" t="s">
        <v>63</v>
      </c>
      <c r="H389" t="s">
        <v>64</v>
      </c>
      <c r="I389" t="s">
        <v>26</v>
      </c>
      <c r="J389" t="s">
        <v>87</v>
      </c>
      <c r="K389" s="2" t="s">
        <v>404</v>
      </c>
      <c r="L389" t="s">
        <v>42</v>
      </c>
      <c r="M389" t="s">
        <v>78</v>
      </c>
      <c r="N389" t="s">
        <v>52</v>
      </c>
      <c r="O389">
        <v>2</v>
      </c>
      <c r="P389" t="s">
        <v>53</v>
      </c>
      <c r="Q389">
        <v>21</v>
      </c>
      <c r="R389" s="15">
        <v>111893</v>
      </c>
      <c r="S389" s="15">
        <v>702000</v>
      </c>
      <c r="T389" s="16">
        <v>4490107</v>
      </c>
      <c r="U389" t="str">
        <f t="shared" si="12"/>
        <v>no</v>
      </c>
      <c r="V389" t="str">
        <f t="shared" si="13"/>
        <v>budget</v>
      </c>
    </row>
    <row r="390" spans="1:22" x14ac:dyDescent="0.3">
      <c r="A390">
        <v>1389</v>
      </c>
      <c r="B390" t="s">
        <v>45</v>
      </c>
      <c r="C390" t="s">
        <v>34</v>
      </c>
      <c r="D390">
        <v>50</v>
      </c>
      <c r="E390" t="s">
        <v>68</v>
      </c>
      <c r="F390" t="s">
        <v>23</v>
      </c>
      <c r="G390" t="s">
        <v>37</v>
      </c>
      <c r="H390" t="s">
        <v>38</v>
      </c>
      <c r="I390" t="s">
        <v>48</v>
      </c>
      <c r="J390" t="s">
        <v>49</v>
      </c>
      <c r="K390" s="2" t="s">
        <v>405</v>
      </c>
      <c r="L390" t="s">
        <v>59</v>
      </c>
      <c r="M390" t="s">
        <v>30</v>
      </c>
      <c r="N390" t="s">
        <v>52</v>
      </c>
      <c r="O390">
        <v>3</v>
      </c>
      <c r="P390" t="s">
        <v>53</v>
      </c>
      <c r="Q390">
        <v>22</v>
      </c>
      <c r="R390" s="15">
        <v>127935</v>
      </c>
      <c r="S390" s="15">
        <v>846000</v>
      </c>
      <c r="T390" s="16">
        <v>5418065</v>
      </c>
      <c r="U390" t="str">
        <f t="shared" si="12"/>
        <v>no</v>
      </c>
      <c r="V390" t="str">
        <f t="shared" si="13"/>
        <v>standard</v>
      </c>
    </row>
    <row r="391" spans="1:22" x14ac:dyDescent="0.3">
      <c r="A391">
        <v>1390</v>
      </c>
      <c r="B391" t="s">
        <v>54</v>
      </c>
      <c r="C391" t="s">
        <v>34</v>
      </c>
      <c r="D391">
        <v>32</v>
      </c>
      <c r="E391" t="s">
        <v>46</v>
      </c>
      <c r="F391" t="s">
        <v>55</v>
      </c>
      <c r="G391" t="s">
        <v>115</v>
      </c>
      <c r="H391" t="s">
        <v>106</v>
      </c>
      <c r="I391" t="s">
        <v>48</v>
      </c>
      <c r="J391" t="s">
        <v>49</v>
      </c>
      <c r="K391" s="2" t="s">
        <v>406</v>
      </c>
      <c r="L391" t="s">
        <v>59</v>
      </c>
      <c r="M391" t="s">
        <v>43</v>
      </c>
      <c r="N391" t="s">
        <v>31</v>
      </c>
      <c r="O391">
        <v>3</v>
      </c>
      <c r="P391" t="s">
        <v>86</v>
      </c>
      <c r="Q391">
        <v>17</v>
      </c>
      <c r="R391" s="15">
        <v>220700</v>
      </c>
      <c r="S391" s="15">
        <v>5760000</v>
      </c>
      <c r="T391" s="16">
        <v>37539300</v>
      </c>
      <c r="U391" t="str">
        <f t="shared" si="12"/>
        <v>yes</v>
      </c>
      <c r="V391" t="str">
        <f t="shared" si="13"/>
        <v>ultra premium</v>
      </c>
    </row>
    <row r="392" spans="1:22" x14ac:dyDescent="0.3">
      <c r="A392">
        <v>1391</v>
      </c>
      <c r="B392" t="s">
        <v>108</v>
      </c>
      <c r="C392" t="s">
        <v>21</v>
      </c>
      <c r="D392">
        <v>40</v>
      </c>
      <c r="E392" t="s">
        <v>73</v>
      </c>
      <c r="F392" t="s">
        <v>36</v>
      </c>
      <c r="G392" t="s">
        <v>47</v>
      </c>
      <c r="H392" t="s">
        <v>25</v>
      </c>
      <c r="I392" t="s">
        <v>76</v>
      </c>
      <c r="J392" t="s">
        <v>87</v>
      </c>
      <c r="K392" s="2" t="s">
        <v>402</v>
      </c>
      <c r="L392" t="s">
        <v>66</v>
      </c>
      <c r="M392" t="s">
        <v>30</v>
      </c>
      <c r="N392" t="s">
        <v>31</v>
      </c>
      <c r="O392">
        <v>4</v>
      </c>
      <c r="P392" t="s">
        <v>32</v>
      </c>
      <c r="Q392">
        <v>19</v>
      </c>
      <c r="R392" s="15">
        <v>278356</v>
      </c>
      <c r="S392" s="15">
        <v>1224000</v>
      </c>
      <c r="T392" s="16">
        <v>7745644</v>
      </c>
      <c r="U392" t="str">
        <f t="shared" si="12"/>
        <v>no</v>
      </c>
      <c r="V392" t="str">
        <f t="shared" si="13"/>
        <v>standard</v>
      </c>
    </row>
    <row r="393" spans="1:22" x14ac:dyDescent="0.3">
      <c r="A393">
        <v>1392</v>
      </c>
      <c r="B393" t="s">
        <v>67</v>
      </c>
      <c r="C393" t="s">
        <v>21</v>
      </c>
      <c r="D393">
        <v>57</v>
      </c>
      <c r="E393" t="s">
        <v>112</v>
      </c>
      <c r="F393" t="s">
        <v>36</v>
      </c>
      <c r="G393" t="s">
        <v>47</v>
      </c>
      <c r="H393" t="s">
        <v>25</v>
      </c>
      <c r="I393" t="s">
        <v>97</v>
      </c>
      <c r="J393" t="s">
        <v>87</v>
      </c>
      <c r="K393" s="2" t="s">
        <v>407</v>
      </c>
      <c r="L393" t="s">
        <v>71</v>
      </c>
      <c r="M393" t="s">
        <v>43</v>
      </c>
      <c r="N393" t="s">
        <v>31</v>
      </c>
      <c r="O393">
        <v>5</v>
      </c>
      <c r="P393" t="s">
        <v>44</v>
      </c>
      <c r="Q393">
        <v>11</v>
      </c>
      <c r="R393" s="15">
        <v>86696</v>
      </c>
      <c r="S393" s="15">
        <v>936000</v>
      </c>
      <c r="T393" s="16">
        <v>6049304</v>
      </c>
      <c r="U393" t="str">
        <f t="shared" si="12"/>
        <v>no</v>
      </c>
      <c r="V393" t="str">
        <f t="shared" si="13"/>
        <v>standard</v>
      </c>
    </row>
    <row r="394" spans="1:22" x14ac:dyDescent="0.3">
      <c r="A394">
        <v>1393</v>
      </c>
      <c r="B394" t="s">
        <v>79</v>
      </c>
      <c r="C394" t="s">
        <v>21</v>
      </c>
      <c r="D394">
        <v>29</v>
      </c>
      <c r="E394" t="s">
        <v>118</v>
      </c>
      <c r="F394" t="s">
        <v>36</v>
      </c>
      <c r="G394" t="s">
        <v>63</v>
      </c>
      <c r="H394" t="s">
        <v>64</v>
      </c>
      <c r="I394" t="s">
        <v>97</v>
      </c>
      <c r="J394" t="s">
        <v>49</v>
      </c>
      <c r="K394" s="2" t="s">
        <v>109</v>
      </c>
      <c r="L394" t="s">
        <v>29</v>
      </c>
      <c r="M394" t="s">
        <v>30</v>
      </c>
      <c r="N394" t="s">
        <v>31</v>
      </c>
      <c r="O394">
        <v>2</v>
      </c>
      <c r="P394" t="s">
        <v>86</v>
      </c>
      <c r="Q394">
        <v>6</v>
      </c>
      <c r="R394" s="15">
        <v>145511</v>
      </c>
      <c r="S394" s="15">
        <v>1350000</v>
      </c>
      <c r="T394" s="16">
        <v>8704489</v>
      </c>
      <c r="U394" t="str">
        <f t="shared" si="12"/>
        <v>no</v>
      </c>
      <c r="V394" t="str">
        <f t="shared" si="13"/>
        <v>standard</v>
      </c>
    </row>
    <row r="395" spans="1:22" x14ac:dyDescent="0.3">
      <c r="A395">
        <v>1394</v>
      </c>
      <c r="B395" t="s">
        <v>101</v>
      </c>
      <c r="C395" t="s">
        <v>34</v>
      </c>
      <c r="D395">
        <v>56</v>
      </c>
      <c r="E395" t="s">
        <v>35</v>
      </c>
      <c r="F395" t="s">
        <v>62</v>
      </c>
      <c r="G395" t="s">
        <v>74</v>
      </c>
      <c r="H395" t="s">
        <v>75</v>
      </c>
      <c r="I395" t="s">
        <v>39</v>
      </c>
      <c r="J395" t="s">
        <v>49</v>
      </c>
      <c r="K395" s="2" t="s">
        <v>408</v>
      </c>
      <c r="L395" t="s">
        <v>59</v>
      </c>
      <c r="M395" t="s">
        <v>51</v>
      </c>
      <c r="N395" t="s">
        <v>52</v>
      </c>
      <c r="O395">
        <v>3</v>
      </c>
      <c r="P395" t="s">
        <v>86</v>
      </c>
      <c r="Q395">
        <v>11</v>
      </c>
      <c r="R395" s="15">
        <v>240738</v>
      </c>
      <c r="S395" s="15">
        <v>1764000</v>
      </c>
      <c r="T395" s="16">
        <v>11323262</v>
      </c>
      <c r="U395" t="str">
        <f t="shared" si="12"/>
        <v>yes</v>
      </c>
      <c r="V395" t="str">
        <f t="shared" si="13"/>
        <v>premium</v>
      </c>
    </row>
    <row r="396" spans="1:22" x14ac:dyDescent="0.3">
      <c r="A396">
        <v>1395</v>
      </c>
      <c r="B396" t="s">
        <v>67</v>
      </c>
      <c r="C396" t="s">
        <v>21</v>
      </c>
      <c r="D396">
        <v>56</v>
      </c>
      <c r="E396" t="s">
        <v>35</v>
      </c>
      <c r="F396" t="s">
        <v>55</v>
      </c>
      <c r="G396" t="s">
        <v>24</v>
      </c>
      <c r="H396" t="s">
        <v>25</v>
      </c>
      <c r="I396" t="s">
        <v>97</v>
      </c>
      <c r="J396" t="s">
        <v>49</v>
      </c>
      <c r="K396" s="2" t="s">
        <v>158</v>
      </c>
      <c r="L396" t="s">
        <v>59</v>
      </c>
      <c r="M396" t="s">
        <v>51</v>
      </c>
      <c r="N396" t="s">
        <v>52</v>
      </c>
      <c r="O396">
        <v>5</v>
      </c>
      <c r="P396" t="s">
        <v>44</v>
      </c>
      <c r="Q396">
        <v>25</v>
      </c>
      <c r="R396" s="15">
        <v>245721</v>
      </c>
      <c r="S396" s="15">
        <v>1764000</v>
      </c>
      <c r="T396" s="16">
        <v>11318279</v>
      </c>
      <c r="U396" t="str">
        <f t="shared" si="12"/>
        <v>yes</v>
      </c>
      <c r="V396" t="str">
        <f t="shared" si="13"/>
        <v>premium</v>
      </c>
    </row>
    <row r="397" spans="1:22" x14ac:dyDescent="0.3">
      <c r="A397">
        <v>1396</v>
      </c>
      <c r="B397" t="s">
        <v>99</v>
      </c>
      <c r="C397" t="s">
        <v>21</v>
      </c>
      <c r="D397">
        <v>33</v>
      </c>
      <c r="E397" t="s">
        <v>61</v>
      </c>
      <c r="F397" t="s">
        <v>55</v>
      </c>
      <c r="G397" t="s">
        <v>56</v>
      </c>
      <c r="H397" t="s">
        <v>57</v>
      </c>
      <c r="I397" t="s">
        <v>48</v>
      </c>
      <c r="J397" t="s">
        <v>40</v>
      </c>
      <c r="K397" s="2" t="s">
        <v>390</v>
      </c>
      <c r="L397" t="s">
        <v>42</v>
      </c>
      <c r="M397" t="s">
        <v>43</v>
      </c>
      <c r="N397" t="s">
        <v>31</v>
      </c>
      <c r="O397">
        <v>3</v>
      </c>
      <c r="P397" t="s">
        <v>44</v>
      </c>
      <c r="Q397">
        <v>15</v>
      </c>
      <c r="R397" s="15">
        <v>206987</v>
      </c>
      <c r="S397" s="15">
        <v>2250000</v>
      </c>
      <c r="T397" s="16">
        <v>14543013</v>
      </c>
      <c r="U397" t="str">
        <f t="shared" si="12"/>
        <v>no</v>
      </c>
      <c r="V397" t="str">
        <f t="shared" si="13"/>
        <v>premium</v>
      </c>
    </row>
    <row r="398" spans="1:22" x14ac:dyDescent="0.3">
      <c r="A398">
        <v>1397</v>
      </c>
      <c r="B398" t="s">
        <v>45</v>
      </c>
      <c r="C398" t="s">
        <v>34</v>
      </c>
      <c r="D398">
        <v>34</v>
      </c>
      <c r="E398" t="s">
        <v>90</v>
      </c>
      <c r="F398" t="s">
        <v>36</v>
      </c>
      <c r="G398" t="s">
        <v>74</v>
      </c>
      <c r="H398" t="s">
        <v>75</v>
      </c>
      <c r="I398" t="s">
        <v>39</v>
      </c>
      <c r="J398" t="s">
        <v>49</v>
      </c>
      <c r="K398" s="2" t="s">
        <v>409</v>
      </c>
      <c r="L398" t="s">
        <v>42</v>
      </c>
      <c r="M398" t="s">
        <v>78</v>
      </c>
      <c r="N398" t="s">
        <v>31</v>
      </c>
      <c r="O398">
        <v>4</v>
      </c>
      <c r="P398" t="s">
        <v>53</v>
      </c>
      <c r="Q398">
        <v>5</v>
      </c>
      <c r="R398" s="15">
        <v>175588</v>
      </c>
      <c r="S398" s="15">
        <v>702000</v>
      </c>
      <c r="T398" s="16">
        <v>4426412</v>
      </c>
      <c r="U398" t="str">
        <f t="shared" si="12"/>
        <v>no</v>
      </c>
      <c r="V398" t="str">
        <f t="shared" si="13"/>
        <v>budget</v>
      </c>
    </row>
    <row r="399" spans="1:22" x14ac:dyDescent="0.3">
      <c r="A399">
        <v>1398</v>
      </c>
      <c r="B399" t="s">
        <v>95</v>
      </c>
      <c r="C399" t="s">
        <v>34</v>
      </c>
      <c r="D399">
        <v>56</v>
      </c>
      <c r="E399" t="s">
        <v>112</v>
      </c>
      <c r="F399" t="s">
        <v>36</v>
      </c>
      <c r="G399" t="s">
        <v>69</v>
      </c>
      <c r="H399" t="s">
        <v>69</v>
      </c>
      <c r="I399" t="s">
        <v>76</v>
      </c>
      <c r="J399" t="s">
        <v>27</v>
      </c>
      <c r="K399" s="2" t="s">
        <v>410</v>
      </c>
      <c r="L399" t="s">
        <v>66</v>
      </c>
      <c r="M399" t="s">
        <v>51</v>
      </c>
      <c r="N399" t="s">
        <v>52</v>
      </c>
      <c r="O399">
        <v>2</v>
      </c>
      <c r="P399" t="s">
        <v>86</v>
      </c>
      <c r="Q399">
        <v>25</v>
      </c>
      <c r="R399" s="15">
        <v>244918</v>
      </c>
      <c r="S399" s="15">
        <v>936000</v>
      </c>
      <c r="T399" s="16">
        <v>5891082</v>
      </c>
      <c r="U399" t="str">
        <f t="shared" si="12"/>
        <v>no</v>
      </c>
      <c r="V399" t="str">
        <f t="shared" si="13"/>
        <v>standard</v>
      </c>
    </row>
    <row r="400" spans="1:22" x14ac:dyDescent="0.3">
      <c r="A400">
        <v>1399</v>
      </c>
      <c r="B400" t="s">
        <v>67</v>
      </c>
      <c r="C400" t="s">
        <v>21</v>
      </c>
      <c r="D400">
        <v>37</v>
      </c>
      <c r="E400" t="s">
        <v>112</v>
      </c>
      <c r="F400" t="s">
        <v>55</v>
      </c>
      <c r="G400" t="s">
        <v>37</v>
      </c>
      <c r="H400" t="s">
        <v>38</v>
      </c>
      <c r="I400" t="s">
        <v>48</v>
      </c>
      <c r="J400" t="s">
        <v>40</v>
      </c>
      <c r="K400" s="2" t="s">
        <v>411</v>
      </c>
      <c r="L400" t="s">
        <v>59</v>
      </c>
      <c r="M400" t="s">
        <v>43</v>
      </c>
      <c r="N400" t="s">
        <v>52</v>
      </c>
      <c r="O400">
        <v>2</v>
      </c>
      <c r="P400" t="s">
        <v>32</v>
      </c>
      <c r="Q400">
        <v>7</v>
      </c>
      <c r="R400" s="15">
        <v>97228</v>
      </c>
      <c r="S400" s="15">
        <v>936000</v>
      </c>
      <c r="T400" s="16">
        <v>6038772</v>
      </c>
      <c r="U400" t="str">
        <f t="shared" si="12"/>
        <v>no</v>
      </c>
      <c r="V400" t="str">
        <f t="shared" si="13"/>
        <v>standard</v>
      </c>
    </row>
    <row r="401" spans="1:22" x14ac:dyDescent="0.3">
      <c r="A401">
        <v>1400</v>
      </c>
      <c r="B401" t="s">
        <v>95</v>
      </c>
      <c r="C401" t="s">
        <v>21</v>
      </c>
      <c r="D401">
        <v>44</v>
      </c>
      <c r="E401" t="s">
        <v>112</v>
      </c>
      <c r="F401" t="s">
        <v>55</v>
      </c>
      <c r="G401" t="s">
        <v>47</v>
      </c>
      <c r="H401" t="s">
        <v>25</v>
      </c>
      <c r="I401" t="s">
        <v>76</v>
      </c>
      <c r="J401" t="s">
        <v>87</v>
      </c>
      <c r="K401" s="2" t="s">
        <v>412</v>
      </c>
      <c r="L401" t="s">
        <v>29</v>
      </c>
      <c r="M401" t="s">
        <v>78</v>
      </c>
      <c r="N401" t="s">
        <v>31</v>
      </c>
      <c r="O401">
        <v>5</v>
      </c>
      <c r="P401" t="s">
        <v>32</v>
      </c>
      <c r="Q401">
        <v>8</v>
      </c>
      <c r="R401" s="15">
        <v>101567</v>
      </c>
      <c r="S401" s="15">
        <v>936000</v>
      </c>
      <c r="T401" s="16">
        <v>6034433</v>
      </c>
      <c r="U401" t="str">
        <f t="shared" si="12"/>
        <v>no</v>
      </c>
      <c r="V401" t="str">
        <f t="shared" si="13"/>
        <v>standard</v>
      </c>
    </row>
  </sheetData>
  <conditionalFormatting sqref="D2:D1048576">
    <cfRule type="cellIs" dxfId="7" priority="1" operator="greaterThan">
      <formula>50</formula>
    </cfRule>
  </conditionalFormatting>
  <conditionalFormatting sqref="F1:F1048576">
    <cfRule type="colorScale" priority="5">
      <colorScale>
        <cfvo type="min"/>
        <cfvo type="percentile" val="50"/>
        <cfvo type="max"/>
        <color rgb="FFF8696B"/>
        <color rgb="FFFFEB84"/>
        <color rgb="FF63BE7B"/>
      </colorScale>
    </cfRule>
  </conditionalFormatting>
  <conditionalFormatting sqref="L1:L1048576">
    <cfRule type="cellIs" dxfId="6" priority="4" operator="equal">
      <formula>"bank loan"</formula>
    </cfRule>
  </conditionalFormatting>
  <conditionalFormatting sqref="N1:N1048576">
    <cfRule type="cellIs" dxfId="5" priority="3" operator="equal">
      <formula>"no"</formula>
    </cfRule>
  </conditionalFormatting>
  <conditionalFormatting sqref="Q2:Q1048576">
    <cfRule type="cellIs" dxfId="4" priority="6" operator="greaterThan">
      <formula>20</formula>
    </cfRule>
    <cfRule type="cellIs" dxfId="3" priority="7" operator="greaterThan">
      <formula>15</formula>
    </cfRule>
  </conditionalFormatting>
  <conditionalFormatting sqref="R1:R1048576">
    <cfRule type="top10" dxfId="2" priority="9" rank="20"/>
  </conditionalFormatting>
  <conditionalFormatting sqref="T1:T1048576">
    <cfRule type="top10" dxfId="1" priority="10" rank="20"/>
  </conditionalFormatting>
  <conditionalFormatting sqref="U1:U1048576">
    <cfRule type="cellIs" dxfId="0" priority="8" operator="equal">
      <formula>"yes"</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F117"/>
  <sheetViews>
    <sheetView showGridLines="0" topLeftCell="G1" workbookViewId="0">
      <selection activeCell="B101" sqref="B101"/>
    </sheetView>
  </sheetViews>
  <sheetFormatPr defaultRowHeight="14.4" x14ac:dyDescent="0.3"/>
  <cols>
    <col min="1" max="1" width="12.5546875" bestFit="1" customWidth="1"/>
    <col min="2" max="2" width="14.33203125" bestFit="1" customWidth="1"/>
    <col min="3" max="3" width="9.88671875" customWidth="1"/>
    <col min="4" max="4" width="8.33203125" customWidth="1"/>
    <col min="5" max="5" width="5.6640625" customWidth="1"/>
    <col min="6" max="6" width="10.5546875" customWidth="1"/>
    <col min="7" max="7" width="19.21875" bestFit="1" customWidth="1"/>
    <col min="8" max="8" width="15.5546875" bestFit="1" customWidth="1"/>
    <col min="9" max="9" width="5" bestFit="1" customWidth="1"/>
    <col min="10" max="10" width="10.33203125" bestFit="1" customWidth="1"/>
    <col min="11" max="11" width="9.77734375" bestFit="1" customWidth="1"/>
    <col min="12" max="12" width="4" bestFit="1" customWidth="1"/>
    <col min="13" max="13" width="10.77734375" bestFit="1" customWidth="1"/>
    <col min="14" max="14" width="9.33203125" bestFit="1" customWidth="1"/>
    <col min="15" max="15" width="10.5546875" bestFit="1" customWidth="1"/>
    <col min="16" max="16" width="9.6640625" bestFit="1" customWidth="1"/>
    <col min="17" max="17" width="10.77734375" bestFit="1" customWidth="1"/>
    <col min="18" max="18" width="7.33203125" customWidth="1"/>
    <col min="19" max="19" width="11.33203125" customWidth="1"/>
    <col min="20" max="30" width="3" customWidth="1"/>
    <col min="31" max="31" width="7.33203125" customWidth="1"/>
    <col min="32" max="32" width="11.33203125" customWidth="1"/>
    <col min="33" max="33" width="7.109375" customWidth="1"/>
    <col min="34" max="34" width="11.6640625" bestFit="1" customWidth="1"/>
    <col min="35" max="35" width="8.33203125" customWidth="1"/>
    <col min="36" max="36" width="9.109375" customWidth="1"/>
    <col min="37" max="37" width="9.44140625" customWidth="1"/>
    <col min="38" max="38" width="7.33203125" customWidth="1"/>
    <col min="39" max="39" width="7.109375" customWidth="1"/>
    <col min="40" max="40" width="4.5546875" customWidth="1"/>
    <col min="41" max="42" width="4.44140625" customWidth="1"/>
    <col min="43" max="43" width="4.33203125" customWidth="1"/>
    <col min="44" max="44" width="7.109375" customWidth="1"/>
    <col min="45" max="45" width="11.33203125" bestFit="1" customWidth="1"/>
    <col min="46" max="46" width="9.109375" customWidth="1"/>
    <col min="47" max="47" width="12.109375" bestFit="1" customWidth="1"/>
    <col min="48" max="48" width="11.33203125" customWidth="1"/>
    <col min="49" max="49" width="7.5546875" customWidth="1"/>
    <col min="50" max="50" width="9.6640625" bestFit="1" customWidth="1"/>
    <col min="51" max="51" width="12.109375" bestFit="1" customWidth="1"/>
    <col min="52" max="52" width="9.5546875" bestFit="1" customWidth="1"/>
    <col min="53" max="53" width="11" bestFit="1" customWidth="1"/>
    <col min="54" max="54" width="10" bestFit="1" customWidth="1"/>
    <col min="55" max="55" width="9.44140625" bestFit="1" customWidth="1"/>
    <col min="56" max="56" width="6.33203125" customWidth="1"/>
    <col min="57" max="57" width="7.5546875" customWidth="1"/>
    <col min="58" max="58" width="9.6640625" bestFit="1" customWidth="1"/>
    <col min="59" max="59" width="12.109375" bestFit="1" customWidth="1"/>
    <col min="60" max="60" width="9.5546875" bestFit="1" customWidth="1"/>
    <col min="61" max="61" width="11" bestFit="1" customWidth="1"/>
    <col min="62" max="62" width="10" bestFit="1" customWidth="1"/>
    <col min="63" max="63" width="9.33203125" bestFit="1" customWidth="1"/>
    <col min="64" max="64" width="6.33203125" customWidth="1"/>
    <col min="65" max="65" width="7.5546875" customWidth="1"/>
    <col min="66" max="66" width="9.6640625" bestFit="1" customWidth="1"/>
    <col min="67" max="67" width="12.109375" bestFit="1" customWidth="1"/>
    <col min="68" max="68" width="9.5546875" bestFit="1" customWidth="1"/>
    <col min="69" max="69" width="11" bestFit="1" customWidth="1"/>
    <col min="70" max="70" width="10" bestFit="1" customWidth="1"/>
    <col min="71" max="71" width="9.33203125" bestFit="1" customWidth="1"/>
    <col min="72" max="72" width="6.109375" customWidth="1"/>
    <col min="73" max="73" width="7.5546875" customWidth="1"/>
    <col min="74" max="74" width="9.6640625" bestFit="1" customWidth="1"/>
    <col min="75" max="75" width="12.109375" bestFit="1" customWidth="1"/>
    <col min="76" max="76" width="9.5546875" bestFit="1" customWidth="1"/>
    <col min="77" max="77" width="11" bestFit="1" customWidth="1"/>
    <col min="78" max="78" width="10" bestFit="1" customWidth="1"/>
    <col min="80" max="80" width="9" customWidth="1"/>
    <col min="81" max="81" width="7.5546875" customWidth="1"/>
    <col min="82" max="82" width="9.6640625" bestFit="1" customWidth="1"/>
    <col min="83" max="83" width="12.109375" bestFit="1" customWidth="1"/>
    <col min="84" max="84" width="9.5546875" bestFit="1" customWidth="1"/>
    <col min="85" max="85" width="11" bestFit="1" customWidth="1"/>
    <col min="86" max="86" width="10" bestFit="1" customWidth="1"/>
    <col min="87" max="87" width="12" bestFit="1" customWidth="1"/>
    <col min="89" max="89" width="12.109375" bestFit="1" customWidth="1"/>
    <col min="90" max="90" width="11.33203125" bestFit="1" customWidth="1"/>
  </cols>
  <sheetData>
    <row r="2" spans="1:19" ht="20.25" customHeight="1" x14ac:dyDescent="0.3">
      <c r="A2" s="19" t="s">
        <v>422</v>
      </c>
      <c r="B2" s="20"/>
      <c r="C2" s="20"/>
      <c r="D2" s="20"/>
      <c r="E2" s="20"/>
      <c r="G2" s="17" t="s">
        <v>424</v>
      </c>
      <c r="H2" s="18"/>
      <c r="I2" s="18"/>
      <c r="J2" s="18"/>
      <c r="K2" s="18"/>
      <c r="L2" s="18"/>
      <c r="M2" s="18"/>
      <c r="N2" s="18"/>
      <c r="O2" s="18"/>
      <c r="P2" s="18"/>
      <c r="Q2" s="18"/>
    </row>
    <row r="3" spans="1:19" x14ac:dyDescent="0.3">
      <c r="A3" s="19" t="s">
        <v>423</v>
      </c>
      <c r="B3" s="20"/>
      <c r="C3" s="20"/>
      <c r="D3" s="20"/>
      <c r="E3" s="20"/>
      <c r="G3" s="18"/>
      <c r="H3" s="18"/>
      <c r="I3" s="18"/>
      <c r="J3" s="18"/>
      <c r="K3" s="18"/>
      <c r="L3" s="18"/>
      <c r="M3" s="18"/>
      <c r="N3" s="18"/>
      <c r="O3" s="18"/>
      <c r="P3" s="18"/>
      <c r="Q3" s="18"/>
    </row>
    <row r="4" spans="1:19" x14ac:dyDescent="0.3">
      <c r="A4" s="4" t="s">
        <v>417</v>
      </c>
      <c r="B4" s="4" t="s">
        <v>416</v>
      </c>
      <c r="G4" s="4" t="s">
        <v>418</v>
      </c>
      <c r="H4" s="4" t="s">
        <v>416</v>
      </c>
    </row>
    <row r="5" spans="1:19" x14ac:dyDescent="0.3">
      <c r="A5" s="4" t="s">
        <v>413</v>
      </c>
      <c r="B5" t="s">
        <v>34</v>
      </c>
      <c r="C5" t="s">
        <v>21</v>
      </c>
      <c r="D5" t="s">
        <v>414</v>
      </c>
      <c r="E5" t="s">
        <v>415</v>
      </c>
      <c r="G5" s="4" t="s">
        <v>413</v>
      </c>
      <c r="H5" t="s">
        <v>90</v>
      </c>
      <c r="I5" t="s">
        <v>35</v>
      </c>
      <c r="J5" t="s">
        <v>46</v>
      </c>
      <c r="K5" t="s">
        <v>112</v>
      </c>
      <c r="L5" t="s">
        <v>73</v>
      </c>
      <c r="M5" t="s">
        <v>22</v>
      </c>
      <c r="N5" t="s">
        <v>68</v>
      </c>
      <c r="O5" t="s">
        <v>82</v>
      </c>
      <c r="P5" t="s">
        <v>118</v>
      </c>
      <c r="Q5" t="s">
        <v>61</v>
      </c>
      <c r="R5" t="s">
        <v>414</v>
      </c>
      <c r="S5" t="s">
        <v>415</v>
      </c>
    </row>
    <row r="6" spans="1:19" x14ac:dyDescent="0.3">
      <c r="A6" s="5">
        <v>25</v>
      </c>
      <c r="B6">
        <v>8</v>
      </c>
      <c r="C6">
        <v>3</v>
      </c>
      <c r="E6">
        <v>11</v>
      </c>
      <c r="G6" s="5" t="s">
        <v>69</v>
      </c>
      <c r="H6">
        <v>6</v>
      </c>
      <c r="I6">
        <v>3</v>
      </c>
      <c r="J6">
        <v>4</v>
      </c>
      <c r="K6">
        <v>6</v>
      </c>
      <c r="L6">
        <v>4</v>
      </c>
      <c r="M6">
        <v>3</v>
      </c>
      <c r="N6">
        <v>3</v>
      </c>
      <c r="O6">
        <v>7</v>
      </c>
      <c r="P6">
        <v>3</v>
      </c>
      <c r="Q6">
        <v>1</v>
      </c>
      <c r="S6">
        <v>40</v>
      </c>
    </row>
    <row r="7" spans="1:19" x14ac:dyDescent="0.3">
      <c r="A7" s="5">
        <v>26</v>
      </c>
      <c r="B7">
        <v>6</v>
      </c>
      <c r="C7">
        <v>3</v>
      </c>
      <c r="E7">
        <v>9</v>
      </c>
      <c r="G7" s="5" t="s">
        <v>25</v>
      </c>
      <c r="H7">
        <v>13</v>
      </c>
      <c r="I7">
        <v>8</v>
      </c>
      <c r="J7">
        <v>15</v>
      </c>
      <c r="K7">
        <v>15</v>
      </c>
      <c r="L7">
        <v>9</v>
      </c>
      <c r="M7">
        <v>9</v>
      </c>
      <c r="N7">
        <v>8</v>
      </c>
      <c r="O7">
        <v>11</v>
      </c>
      <c r="P7">
        <v>12</v>
      </c>
      <c r="Q7">
        <v>12</v>
      </c>
      <c r="S7">
        <v>112</v>
      </c>
    </row>
    <row r="8" spans="1:19" x14ac:dyDescent="0.3">
      <c r="A8" s="5">
        <v>27</v>
      </c>
      <c r="B8">
        <v>4</v>
      </c>
      <c r="C8">
        <v>3</v>
      </c>
      <c r="E8">
        <v>7</v>
      </c>
      <c r="G8" s="5" t="s">
        <v>75</v>
      </c>
      <c r="H8">
        <v>3</v>
      </c>
      <c r="I8">
        <v>4</v>
      </c>
      <c r="J8">
        <v>3</v>
      </c>
      <c r="K8">
        <v>2</v>
      </c>
      <c r="L8">
        <v>7</v>
      </c>
      <c r="M8">
        <v>6</v>
      </c>
      <c r="N8">
        <v>2</v>
      </c>
      <c r="O8">
        <v>5</v>
      </c>
      <c r="P8">
        <v>2</v>
      </c>
      <c r="Q8">
        <v>4</v>
      </c>
      <c r="S8">
        <v>38</v>
      </c>
    </row>
    <row r="9" spans="1:19" x14ac:dyDescent="0.3">
      <c r="A9" s="5">
        <v>28</v>
      </c>
      <c r="B9">
        <v>6</v>
      </c>
      <c r="C9">
        <v>9</v>
      </c>
      <c r="E9">
        <v>15</v>
      </c>
      <c r="G9" s="5" t="s">
        <v>106</v>
      </c>
      <c r="H9">
        <v>4</v>
      </c>
      <c r="I9">
        <v>8</v>
      </c>
      <c r="J9">
        <v>10</v>
      </c>
      <c r="K9">
        <v>4</v>
      </c>
      <c r="L9">
        <v>7</v>
      </c>
      <c r="M9">
        <v>13</v>
      </c>
      <c r="N9">
        <v>11</v>
      </c>
      <c r="O9">
        <v>7</v>
      </c>
      <c r="P9">
        <v>7</v>
      </c>
      <c r="Q9">
        <v>8</v>
      </c>
      <c r="S9">
        <v>79</v>
      </c>
    </row>
    <row r="10" spans="1:19" x14ac:dyDescent="0.3">
      <c r="A10" s="5">
        <v>29</v>
      </c>
      <c r="B10">
        <v>8</v>
      </c>
      <c r="C10">
        <v>5</v>
      </c>
      <c r="E10">
        <v>13</v>
      </c>
      <c r="G10" s="5" t="s">
        <v>38</v>
      </c>
      <c r="H10">
        <v>2</v>
      </c>
      <c r="I10">
        <v>4</v>
      </c>
      <c r="J10">
        <v>3</v>
      </c>
      <c r="K10">
        <v>5</v>
      </c>
      <c r="L10">
        <v>2</v>
      </c>
      <c r="M10">
        <v>4</v>
      </c>
      <c r="N10">
        <v>7</v>
      </c>
      <c r="O10">
        <v>5</v>
      </c>
      <c r="P10">
        <v>4</v>
      </c>
      <c r="Q10">
        <v>5</v>
      </c>
      <c r="S10">
        <v>41</v>
      </c>
    </row>
    <row r="11" spans="1:19" x14ac:dyDescent="0.3">
      <c r="A11" s="5">
        <v>30</v>
      </c>
      <c r="B11">
        <v>10</v>
      </c>
      <c r="C11">
        <v>7</v>
      </c>
      <c r="E11">
        <v>17</v>
      </c>
      <c r="G11" s="5" t="s">
        <v>64</v>
      </c>
      <c r="H11">
        <v>5</v>
      </c>
      <c r="I11">
        <v>6</v>
      </c>
      <c r="J11">
        <v>6</v>
      </c>
      <c r="K11">
        <v>1</v>
      </c>
      <c r="L11">
        <v>4</v>
      </c>
      <c r="M11">
        <v>7</v>
      </c>
      <c r="N11">
        <v>1</v>
      </c>
      <c r="O11">
        <v>3</v>
      </c>
      <c r="P11">
        <v>7</v>
      </c>
      <c r="Q11">
        <v>3</v>
      </c>
      <c r="S11">
        <v>43</v>
      </c>
    </row>
    <row r="12" spans="1:19" x14ac:dyDescent="0.3">
      <c r="A12" s="5">
        <v>31</v>
      </c>
      <c r="B12">
        <v>6</v>
      </c>
      <c r="C12">
        <v>4</v>
      </c>
      <c r="E12">
        <v>10</v>
      </c>
      <c r="G12" s="5" t="s">
        <v>57</v>
      </c>
      <c r="H12">
        <v>4</v>
      </c>
      <c r="I12">
        <v>5</v>
      </c>
      <c r="J12">
        <v>3</v>
      </c>
      <c r="K12">
        <v>8</v>
      </c>
      <c r="L12">
        <v>5</v>
      </c>
      <c r="M12">
        <v>6</v>
      </c>
      <c r="N12">
        <v>3</v>
      </c>
      <c r="O12">
        <v>4</v>
      </c>
      <c r="P12">
        <v>5</v>
      </c>
      <c r="Q12">
        <v>4</v>
      </c>
      <c r="S12">
        <v>47</v>
      </c>
    </row>
    <row r="13" spans="1:19" x14ac:dyDescent="0.3">
      <c r="A13" s="5">
        <v>32</v>
      </c>
      <c r="B13">
        <v>3</v>
      </c>
      <c r="C13">
        <v>11</v>
      </c>
      <c r="E13">
        <v>14</v>
      </c>
      <c r="G13" s="5" t="s">
        <v>414</v>
      </c>
    </row>
    <row r="14" spans="1:19" x14ac:dyDescent="0.3">
      <c r="A14" s="5">
        <v>33</v>
      </c>
      <c r="B14">
        <v>5</v>
      </c>
      <c r="C14">
        <v>8</v>
      </c>
      <c r="E14">
        <v>13</v>
      </c>
      <c r="G14" s="5" t="s">
        <v>415</v>
      </c>
      <c r="H14">
        <v>37</v>
      </c>
      <c r="I14">
        <v>38</v>
      </c>
      <c r="J14">
        <v>44</v>
      </c>
      <c r="K14">
        <v>41</v>
      </c>
      <c r="L14">
        <v>38</v>
      </c>
      <c r="M14">
        <v>48</v>
      </c>
      <c r="N14">
        <v>35</v>
      </c>
      <c r="O14">
        <v>42</v>
      </c>
      <c r="P14">
        <v>40</v>
      </c>
      <c r="Q14">
        <v>37</v>
      </c>
      <c r="S14">
        <v>400</v>
      </c>
    </row>
    <row r="15" spans="1:19" x14ac:dyDescent="0.3">
      <c r="A15" s="5">
        <v>34</v>
      </c>
      <c r="B15">
        <v>5</v>
      </c>
      <c r="C15">
        <v>1</v>
      </c>
      <c r="E15">
        <v>6</v>
      </c>
      <c r="G15" s="17" t="s">
        <v>425</v>
      </c>
      <c r="H15" s="18"/>
      <c r="I15" s="18"/>
      <c r="J15" s="18"/>
      <c r="K15" s="18"/>
      <c r="L15" s="18"/>
      <c r="M15" s="18"/>
      <c r="N15" s="18"/>
    </row>
    <row r="16" spans="1:19" x14ac:dyDescent="0.3">
      <c r="A16" s="5">
        <v>35</v>
      </c>
      <c r="B16">
        <v>4</v>
      </c>
      <c r="C16">
        <v>5</v>
      </c>
      <c r="E16">
        <v>9</v>
      </c>
      <c r="G16" s="18"/>
      <c r="H16" s="18"/>
      <c r="I16" s="18"/>
      <c r="J16" s="18"/>
      <c r="K16" s="18"/>
      <c r="L16" s="18"/>
      <c r="M16" s="18"/>
      <c r="N16" s="18"/>
    </row>
    <row r="17" spans="1:14" x14ac:dyDescent="0.3">
      <c r="A17" s="5">
        <v>36</v>
      </c>
      <c r="B17">
        <v>4</v>
      </c>
      <c r="C17">
        <v>5</v>
      </c>
      <c r="E17">
        <v>9</v>
      </c>
      <c r="G17" s="4" t="s">
        <v>417</v>
      </c>
      <c r="H17" s="4" t="s">
        <v>416</v>
      </c>
    </row>
    <row r="18" spans="1:14" x14ac:dyDescent="0.3">
      <c r="A18" s="5">
        <v>37</v>
      </c>
      <c r="B18">
        <v>5</v>
      </c>
      <c r="C18">
        <v>4</v>
      </c>
      <c r="E18">
        <v>9</v>
      </c>
      <c r="G18" s="4" t="s">
        <v>413</v>
      </c>
      <c r="H18" t="s">
        <v>76</v>
      </c>
      <c r="I18" t="s">
        <v>26</v>
      </c>
      <c r="J18" t="s">
        <v>48</v>
      </c>
      <c r="K18" t="s">
        <v>39</v>
      </c>
      <c r="L18" t="s">
        <v>97</v>
      </c>
      <c r="M18" t="s">
        <v>415</v>
      </c>
    </row>
    <row r="19" spans="1:14" x14ac:dyDescent="0.3">
      <c r="A19" s="5">
        <v>38</v>
      </c>
      <c r="B19">
        <v>4</v>
      </c>
      <c r="C19">
        <v>7</v>
      </c>
      <c r="E19">
        <v>11</v>
      </c>
      <c r="G19" s="5" t="s">
        <v>69</v>
      </c>
      <c r="H19" s="22">
        <v>5</v>
      </c>
      <c r="I19" s="22">
        <v>13</v>
      </c>
      <c r="J19" s="22">
        <v>4</v>
      </c>
      <c r="K19" s="22">
        <v>12</v>
      </c>
      <c r="L19" s="22">
        <v>6</v>
      </c>
      <c r="M19" s="22">
        <v>40</v>
      </c>
    </row>
    <row r="20" spans="1:14" x14ac:dyDescent="0.3">
      <c r="A20" s="5">
        <v>39</v>
      </c>
      <c r="B20">
        <v>6</v>
      </c>
      <c r="C20">
        <v>10</v>
      </c>
      <c r="E20">
        <v>16</v>
      </c>
      <c r="G20" s="5" t="s">
        <v>25</v>
      </c>
      <c r="H20" s="22">
        <v>24</v>
      </c>
      <c r="I20" s="22">
        <v>26</v>
      </c>
      <c r="J20" s="22">
        <v>22</v>
      </c>
      <c r="K20" s="22">
        <v>18</v>
      </c>
      <c r="L20" s="22">
        <v>22</v>
      </c>
      <c r="M20" s="22">
        <v>112</v>
      </c>
    </row>
    <row r="21" spans="1:14" x14ac:dyDescent="0.3">
      <c r="A21" s="5">
        <v>40</v>
      </c>
      <c r="B21">
        <v>3</v>
      </c>
      <c r="C21">
        <v>5</v>
      </c>
      <c r="E21">
        <v>8</v>
      </c>
      <c r="G21" s="5" t="s">
        <v>75</v>
      </c>
      <c r="H21" s="22">
        <v>4</v>
      </c>
      <c r="I21" s="22">
        <v>8</v>
      </c>
      <c r="J21" s="22">
        <v>9</v>
      </c>
      <c r="K21" s="22">
        <v>11</v>
      </c>
      <c r="L21" s="22">
        <v>6</v>
      </c>
      <c r="M21" s="22">
        <v>38</v>
      </c>
    </row>
    <row r="22" spans="1:14" x14ac:dyDescent="0.3">
      <c r="A22" s="5">
        <v>41</v>
      </c>
      <c r="B22">
        <v>7</v>
      </c>
      <c r="C22">
        <v>10</v>
      </c>
      <c r="E22">
        <v>17</v>
      </c>
      <c r="G22" s="5" t="s">
        <v>106</v>
      </c>
      <c r="H22" s="22">
        <v>16</v>
      </c>
      <c r="I22" s="22">
        <v>15</v>
      </c>
      <c r="J22" s="22">
        <v>18</v>
      </c>
      <c r="K22" s="22">
        <v>12</v>
      </c>
      <c r="L22" s="22">
        <v>18</v>
      </c>
      <c r="M22" s="22">
        <v>79</v>
      </c>
    </row>
    <row r="23" spans="1:14" x14ac:dyDescent="0.3">
      <c r="A23" s="5">
        <v>42</v>
      </c>
      <c r="B23">
        <v>5</v>
      </c>
      <c r="C23">
        <v>4</v>
      </c>
      <c r="E23">
        <v>9</v>
      </c>
      <c r="G23" s="5" t="s">
        <v>38</v>
      </c>
      <c r="H23" s="22">
        <v>6</v>
      </c>
      <c r="I23" s="22">
        <v>6</v>
      </c>
      <c r="J23" s="22">
        <v>19</v>
      </c>
      <c r="K23" s="22">
        <v>5</v>
      </c>
      <c r="L23" s="22">
        <v>5</v>
      </c>
      <c r="M23" s="22">
        <v>41</v>
      </c>
    </row>
    <row r="24" spans="1:14" x14ac:dyDescent="0.3">
      <c r="A24" s="5">
        <v>43</v>
      </c>
      <c r="B24">
        <v>2</v>
      </c>
      <c r="C24">
        <v>10</v>
      </c>
      <c r="E24">
        <v>12</v>
      </c>
      <c r="G24" s="5" t="s">
        <v>64</v>
      </c>
      <c r="H24" s="22">
        <v>9</v>
      </c>
      <c r="I24" s="22">
        <v>8</v>
      </c>
      <c r="J24" s="22">
        <v>10</v>
      </c>
      <c r="K24" s="22">
        <v>12</v>
      </c>
      <c r="L24" s="22">
        <v>4</v>
      </c>
      <c r="M24" s="22">
        <v>43</v>
      </c>
    </row>
    <row r="25" spans="1:14" x14ac:dyDescent="0.3">
      <c r="A25" s="5">
        <v>44</v>
      </c>
      <c r="B25">
        <v>8</v>
      </c>
      <c r="C25">
        <v>7</v>
      </c>
      <c r="E25">
        <v>15</v>
      </c>
      <c r="G25" s="5" t="s">
        <v>57</v>
      </c>
      <c r="H25" s="22">
        <v>11</v>
      </c>
      <c r="I25" s="22">
        <v>12</v>
      </c>
      <c r="J25" s="22">
        <v>4</v>
      </c>
      <c r="K25" s="22">
        <v>11</v>
      </c>
      <c r="L25" s="22">
        <v>9</v>
      </c>
      <c r="M25" s="22">
        <v>47</v>
      </c>
    </row>
    <row r="26" spans="1:14" x14ac:dyDescent="0.3">
      <c r="A26" s="5">
        <v>45</v>
      </c>
      <c r="B26">
        <v>7</v>
      </c>
      <c r="C26">
        <v>8</v>
      </c>
      <c r="E26">
        <v>15</v>
      </c>
      <c r="G26" s="5" t="s">
        <v>415</v>
      </c>
      <c r="H26" s="22">
        <v>75</v>
      </c>
      <c r="I26" s="22">
        <v>88</v>
      </c>
      <c r="J26" s="22">
        <v>86</v>
      </c>
      <c r="K26" s="22">
        <v>81</v>
      </c>
      <c r="L26" s="22">
        <v>70</v>
      </c>
      <c r="M26" s="22">
        <v>400</v>
      </c>
    </row>
    <row r="27" spans="1:14" x14ac:dyDescent="0.3">
      <c r="A27" s="5">
        <v>46</v>
      </c>
      <c r="B27">
        <v>5</v>
      </c>
      <c r="C27">
        <v>5</v>
      </c>
      <c r="E27">
        <v>10</v>
      </c>
    </row>
    <row r="28" spans="1:14" x14ac:dyDescent="0.3">
      <c r="A28" s="5">
        <v>47</v>
      </c>
      <c r="B28">
        <v>4</v>
      </c>
      <c r="C28">
        <v>4</v>
      </c>
      <c r="E28">
        <v>8</v>
      </c>
      <c r="G28" s="17" t="s">
        <v>426</v>
      </c>
      <c r="H28" s="18"/>
      <c r="I28" s="18"/>
      <c r="J28" s="18"/>
      <c r="K28" s="18"/>
      <c r="L28" s="18"/>
      <c r="M28" s="18"/>
      <c r="N28" s="18"/>
    </row>
    <row r="29" spans="1:14" x14ac:dyDescent="0.3">
      <c r="A29" s="5">
        <v>48</v>
      </c>
      <c r="B29">
        <v>7</v>
      </c>
      <c r="C29">
        <v>3</v>
      </c>
      <c r="E29">
        <v>10</v>
      </c>
      <c r="G29" s="18"/>
      <c r="H29" s="18"/>
      <c r="I29" s="18"/>
      <c r="J29" s="18"/>
      <c r="K29" s="18"/>
      <c r="L29" s="18"/>
      <c r="M29" s="18"/>
      <c r="N29" s="18"/>
    </row>
    <row r="30" spans="1:14" x14ac:dyDescent="0.3">
      <c r="A30" s="5">
        <v>49</v>
      </c>
      <c r="B30">
        <v>6</v>
      </c>
      <c r="C30">
        <v>12</v>
      </c>
      <c r="E30">
        <v>18</v>
      </c>
      <c r="G30" s="4" t="s">
        <v>419</v>
      </c>
      <c r="H30" s="4" t="s">
        <v>416</v>
      </c>
    </row>
    <row r="31" spans="1:14" x14ac:dyDescent="0.3">
      <c r="A31" s="5">
        <v>50</v>
      </c>
      <c r="B31">
        <v>10</v>
      </c>
      <c r="C31">
        <v>4</v>
      </c>
      <c r="E31">
        <v>14</v>
      </c>
      <c r="G31" s="4" t="s">
        <v>413</v>
      </c>
      <c r="H31" t="s">
        <v>59</v>
      </c>
      <c r="I31" t="s">
        <v>66</v>
      </c>
      <c r="J31" t="s">
        <v>71</v>
      </c>
      <c r="K31" t="s">
        <v>29</v>
      </c>
      <c r="L31" t="s">
        <v>42</v>
      </c>
      <c r="M31" t="s">
        <v>415</v>
      </c>
    </row>
    <row r="32" spans="1:14" x14ac:dyDescent="0.3">
      <c r="A32" s="5">
        <v>51</v>
      </c>
      <c r="B32">
        <v>4</v>
      </c>
      <c r="C32">
        <v>4</v>
      </c>
      <c r="E32">
        <v>8</v>
      </c>
      <c r="G32" s="5" t="s">
        <v>69</v>
      </c>
      <c r="H32" s="22">
        <v>6</v>
      </c>
      <c r="I32" s="22">
        <v>11</v>
      </c>
      <c r="J32" s="22">
        <v>9</v>
      </c>
      <c r="K32" s="22">
        <v>4</v>
      </c>
      <c r="L32" s="22">
        <v>10</v>
      </c>
      <c r="M32" s="22">
        <v>40</v>
      </c>
    </row>
    <row r="33" spans="1:15" x14ac:dyDescent="0.3">
      <c r="A33" s="5">
        <v>52</v>
      </c>
      <c r="B33">
        <v>6</v>
      </c>
      <c r="C33">
        <v>7</v>
      </c>
      <c r="E33">
        <v>13</v>
      </c>
      <c r="G33" s="5" t="s">
        <v>25</v>
      </c>
      <c r="H33" s="22">
        <v>29</v>
      </c>
      <c r="I33" s="22">
        <v>20</v>
      </c>
      <c r="J33" s="22">
        <v>18</v>
      </c>
      <c r="K33" s="22">
        <v>22</v>
      </c>
      <c r="L33" s="22">
        <v>23</v>
      </c>
      <c r="M33" s="22">
        <v>112</v>
      </c>
    </row>
    <row r="34" spans="1:15" x14ac:dyDescent="0.3">
      <c r="A34" s="5">
        <v>53</v>
      </c>
      <c r="B34">
        <v>4</v>
      </c>
      <c r="C34">
        <v>3</v>
      </c>
      <c r="E34">
        <v>7</v>
      </c>
      <c r="G34" s="5" t="s">
        <v>75</v>
      </c>
      <c r="H34" s="22">
        <v>6</v>
      </c>
      <c r="I34" s="22">
        <v>6</v>
      </c>
      <c r="J34" s="22">
        <v>10</v>
      </c>
      <c r="K34" s="22">
        <v>7</v>
      </c>
      <c r="L34" s="22">
        <v>9</v>
      </c>
      <c r="M34" s="22">
        <v>38</v>
      </c>
    </row>
    <row r="35" spans="1:15" x14ac:dyDescent="0.3">
      <c r="A35" s="5">
        <v>54</v>
      </c>
      <c r="B35">
        <v>1</v>
      </c>
      <c r="C35">
        <v>3</v>
      </c>
      <c r="E35">
        <v>4</v>
      </c>
      <c r="G35" s="5" t="s">
        <v>106</v>
      </c>
      <c r="H35" s="22">
        <v>15</v>
      </c>
      <c r="I35" s="22">
        <v>22</v>
      </c>
      <c r="J35" s="22">
        <v>13</v>
      </c>
      <c r="K35" s="22">
        <v>12</v>
      </c>
      <c r="L35" s="22">
        <v>17</v>
      </c>
      <c r="M35" s="22">
        <v>79</v>
      </c>
    </row>
    <row r="36" spans="1:15" x14ac:dyDescent="0.3">
      <c r="A36" s="5">
        <v>55</v>
      </c>
      <c r="B36">
        <v>5</v>
      </c>
      <c r="C36">
        <v>5</v>
      </c>
      <c r="E36">
        <v>10</v>
      </c>
      <c r="G36" s="5" t="s">
        <v>38</v>
      </c>
      <c r="H36" s="22">
        <v>6</v>
      </c>
      <c r="I36" s="22">
        <v>7</v>
      </c>
      <c r="J36" s="22">
        <v>11</v>
      </c>
      <c r="K36" s="22">
        <v>9</v>
      </c>
      <c r="L36" s="22">
        <v>8</v>
      </c>
      <c r="M36" s="22">
        <v>41</v>
      </c>
    </row>
    <row r="37" spans="1:15" x14ac:dyDescent="0.3">
      <c r="A37" s="5">
        <v>56</v>
      </c>
      <c r="B37">
        <v>8</v>
      </c>
      <c r="C37">
        <v>9</v>
      </c>
      <c r="E37">
        <v>17</v>
      </c>
      <c r="G37" s="5" t="s">
        <v>64</v>
      </c>
      <c r="H37" s="22">
        <v>6</v>
      </c>
      <c r="I37" s="22">
        <v>10</v>
      </c>
      <c r="J37" s="22">
        <v>7</v>
      </c>
      <c r="K37" s="22">
        <v>7</v>
      </c>
      <c r="L37" s="22">
        <v>13</v>
      </c>
      <c r="M37" s="22">
        <v>43</v>
      </c>
    </row>
    <row r="38" spans="1:15" x14ac:dyDescent="0.3">
      <c r="A38" s="5">
        <v>57</v>
      </c>
      <c r="B38">
        <v>1</v>
      </c>
      <c r="C38">
        <v>5</v>
      </c>
      <c r="E38">
        <v>6</v>
      </c>
      <c r="G38" s="5" t="s">
        <v>57</v>
      </c>
      <c r="H38" s="22">
        <v>9</v>
      </c>
      <c r="I38" s="22">
        <v>9</v>
      </c>
      <c r="J38" s="22">
        <v>6</v>
      </c>
      <c r="K38" s="22">
        <v>15</v>
      </c>
      <c r="L38" s="22">
        <v>8</v>
      </c>
      <c r="M38" s="22">
        <v>47</v>
      </c>
    </row>
    <row r="39" spans="1:15" x14ac:dyDescent="0.3">
      <c r="A39" s="5">
        <v>58</v>
      </c>
      <c r="B39">
        <v>5</v>
      </c>
      <c r="C39">
        <v>5</v>
      </c>
      <c r="E39">
        <v>10</v>
      </c>
      <c r="G39" s="5" t="s">
        <v>415</v>
      </c>
      <c r="H39" s="22">
        <v>77</v>
      </c>
      <c r="I39" s="22">
        <v>85</v>
      </c>
      <c r="J39" s="22">
        <v>74</v>
      </c>
      <c r="K39" s="22">
        <v>76</v>
      </c>
      <c r="L39" s="22">
        <v>88</v>
      </c>
      <c r="M39" s="22">
        <v>400</v>
      </c>
    </row>
    <row r="40" spans="1:15" x14ac:dyDescent="0.3">
      <c r="A40" s="5">
        <v>59</v>
      </c>
      <c r="B40">
        <v>6</v>
      </c>
      <c r="C40">
        <v>5</v>
      </c>
      <c r="E40">
        <v>11</v>
      </c>
    </row>
    <row r="41" spans="1:15" x14ac:dyDescent="0.3">
      <c r="A41" s="5">
        <v>60</v>
      </c>
      <c r="B41">
        <v>5</v>
      </c>
      <c r="C41">
        <v>4</v>
      </c>
      <c r="E41">
        <v>9</v>
      </c>
    </row>
    <row r="42" spans="1:15" x14ac:dyDescent="0.3">
      <c r="A42" s="5" t="s">
        <v>414</v>
      </c>
    </row>
    <row r="43" spans="1:15" x14ac:dyDescent="0.3">
      <c r="A43" s="5" t="s">
        <v>415</v>
      </c>
      <c r="B43">
        <v>193</v>
      </c>
      <c r="C43">
        <v>207</v>
      </c>
      <c r="E43">
        <v>400</v>
      </c>
    </row>
    <row r="44" spans="1:15" x14ac:dyDescent="0.3">
      <c r="A44" s="21" t="s">
        <v>427</v>
      </c>
      <c r="B44" s="18"/>
      <c r="C44" s="18"/>
      <c r="D44" s="18"/>
      <c r="E44" s="18"/>
      <c r="F44" s="18"/>
      <c r="G44" s="18"/>
      <c r="I44" s="17" t="s">
        <v>428</v>
      </c>
      <c r="J44" s="18"/>
      <c r="K44" s="18"/>
      <c r="L44" s="18"/>
      <c r="M44" s="18"/>
      <c r="N44" s="18"/>
      <c r="O44" s="18"/>
    </row>
    <row r="45" spans="1:15" x14ac:dyDescent="0.3">
      <c r="A45" s="18"/>
      <c r="B45" s="18"/>
      <c r="C45" s="18"/>
      <c r="D45" s="18"/>
      <c r="E45" s="18"/>
      <c r="F45" s="18"/>
      <c r="G45" s="18"/>
      <c r="I45" s="18"/>
      <c r="J45" s="18"/>
      <c r="K45" s="18"/>
      <c r="L45" s="18"/>
      <c r="M45" s="18"/>
      <c r="N45" s="18"/>
      <c r="O45" s="18"/>
    </row>
    <row r="46" spans="1:15" x14ac:dyDescent="0.3">
      <c r="A46" s="4" t="s">
        <v>420</v>
      </c>
      <c r="B46" s="4" t="s">
        <v>416</v>
      </c>
      <c r="I46" s="4" t="s">
        <v>420</v>
      </c>
      <c r="J46" s="4" t="s">
        <v>416</v>
      </c>
    </row>
    <row r="47" spans="1:15" x14ac:dyDescent="0.3">
      <c r="A47" s="4" t="s">
        <v>413</v>
      </c>
      <c r="B47" t="s">
        <v>36</v>
      </c>
      <c r="C47" t="s">
        <v>23</v>
      </c>
      <c r="D47" t="s">
        <v>62</v>
      </c>
      <c r="E47" t="s">
        <v>55</v>
      </c>
      <c r="F47" t="s">
        <v>414</v>
      </c>
      <c r="G47" t="s">
        <v>415</v>
      </c>
      <c r="I47" s="4" t="s">
        <v>413</v>
      </c>
      <c r="J47" t="s">
        <v>44</v>
      </c>
      <c r="K47" t="s">
        <v>32</v>
      </c>
      <c r="L47" t="s">
        <v>53</v>
      </c>
      <c r="M47" t="s">
        <v>86</v>
      </c>
      <c r="N47" t="s">
        <v>414</v>
      </c>
      <c r="O47" t="s">
        <v>415</v>
      </c>
    </row>
    <row r="48" spans="1:15" x14ac:dyDescent="0.3">
      <c r="A48" s="5">
        <v>25</v>
      </c>
      <c r="B48">
        <v>3</v>
      </c>
      <c r="C48">
        <v>2</v>
      </c>
      <c r="D48">
        <v>2</v>
      </c>
      <c r="E48">
        <v>4</v>
      </c>
      <c r="G48">
        <v>11</v>
      </c>
      <c r="I48" s="5" t="s">
        <v>51</v>
      </c>
      <c r="J48">
        <v>22</v>
      </c>
      <c r="K48">
        <v>16</v>
      </c>
      <c r="L48">
        <v>24</v>
      </c>
      <c r="M48">
        <v>28</v>
      </c>
      <c r="O48">
        <v>90</v>
      </c>
    </row>
    <row r="49" spans="1:32" x14ac:dyDescent="0.3">
      <c r="A49" s="5">
        <v>26</v>
      </c>
      <c r="B49">
        <v>3</v>
      </c>
      <c r="D49">
        <v>3</v>
      </c>
      <c r="E49">
        <v>3</v>
      </c>
      <c r="G49">
        <v>9</v>
      </c>
      <c r="I49" s="5" t="s">
        <v>78</v>
      </c>
      <c r="J49">
        <v>23</v>
      </c>
      <c r="K49">
        <v>14</v>
      </c>
      <c r="L49">
        <v>19</v>
      </c>
      <c r="M49">
        <v>25</v>
      </c>
      <c r="O49">
        <v>81</v>
      </c>
    </row>
    <row r="50" spans="1:32" x14ac:dyDescent="0.3">
      <c r="A50" s="5">
        <v>27</v>
      </c>
      <c r="B50">
        <v>1</v>
      </c>
      <c r="C50">
        <v>2</v>
      </c>
      <c r="D50">
        <v>3</v>
      </c>
      <c r="E50">
        <v>1</v>
      </c>
      <c r="G50">
        <v>7</v>
      </c>
      <c r="I50" s="5" t="s">
        <v>30</v>
      </c>
      <c r="J50">
        <v>11</v>
      </c>
      <c r="K50">
        <v>21</v>
      </c>
      <c r="L50">
        <v>25</v>
      </c>
      <c r="M50">
        <v>13</v>
      </c>
      <c r="O50">
        <v>70</v>
      </c>
    </row>
    <row r="51" spans="1:32" x14ac:dyDescent="0.3">
      <c r="A51" s="5">
        <v>28</v>
      </c>
      <c r="B51">
        <v>2</v>
      </c>
      <c r="C51">
        <v>5</v>
      </c>
      <c r="D51">
        <v>4</v>
      </c>
      <c r="E51">
        <v>4</v>
      </c>
      <c r="G51">
        <v>15</v>
      </c>
      <c r="I51" s="5" t="s">
        <v>94</v>
      </c>
      <c r="J51">
        <v>18</v>
      </c>
      <c r="K51">
        <v>15</v>
      </c>
      <c r="L51">
        <v>18</v>
      </c>
      <c r="M51">
        <v>18</v>
      </c>
      <c r="O51">
        <v>69</v>
      </c>
    </row>
    <row r="52" spans="1:32" x14ac:dyDescent="0.3">
      <c r="A52" s="5">
        <v>29</v>
      </c>
      <c r="B52">
        <v>5</v>
      </c>
      <c r="C52">
        <v>2</v>
      </c>
      <c r="D52">
        <v>3</v>
      </c>
      <c r="E52">
        <v>3</v>
      </c>
      <c r="G52">
        <v>13</v>
      </c>
      <c r="I52" s="5" t="s">
        <v>43</v>
      </c>
      <c r="J52">
        <v>23</v>
      </c>
      <c r="K52">
        <v>22</v>
      </c>
      <c r="L52">
        <v>17</v>
      </c>
      <c r="M52">
        <v>28</v>
      </c>
      <c r="O52">
        <v>90</v>
      </c>
    </row>
    <row r="53" spans="1:32" x14ac:dyDescent="0.3">
      <c r="A53" s="5">
        <v>30</v>
      </c>
      <c r="B53">
        <v>5</v>
      </c>
      <c r="C53">
        <v>2</v>
      </c>
      <c r="D53">
        <v>4</v>
      </c>
      <c r="E53">
        <v>6</v>
      </c>
      <c r="G53">
        <v>17</v>
      </c>
      <c r="I53" s="5" t="s">
        <v>414</v>
      </c>
    </row>
    <row r="54" spans="1:32" x14ac:dyDescent="0.3">
      <c r="A54" s="5">
        <v>31</v>
      </c>
      <c r="B54">
        <v>2</v>
      </c>
      <c r="C54">
        <v>2</v>
      </c>
      <c r="D54">
        <v>2</v>
      </c>
      <c r="E54">
        <v>4</v>
      </c>
      <c r="G54">
        <v>10</v>
      </c>
      <c r="I54" s="5" t="s">
        <v>415</v>
      </c>
      <c r="J54">
        <v>97</v>
      </c>
      <c r="K54">
        <v>88</v>
      </c>
      <c r="L54">
        <v>103</v>
      </c>
      <c r="M54">
        <v>112</v>
      </c>
      <c r="O54">
        <v>400</v>
      </c>
    </row>
    <row r="55" spans="1:32" x14ac:dyDescent="0.3">
      <c r="A55" s="5">
        <v>32</v>
      </c>
      <c r="B55">
        <v>5</v>
      </c>
      <c r="C55">
        <v>1</v>
      </c>
      <c r="D55">
        <v>2</v>
      </c>
      <c r="E55">
        <v>6</v>
      </c>
      <c r="G55">
        <v>14</v>
      </c>
    </row>
    <row r="56" spans="1:32" x14ac:dyDescent="0.3">
      <c r="A56" s="5">
        <v>33</v>
      </c>
      <c r="B56">
        <v>3</v>
      </c>
      <c r="C56">
        <v>2</v>
      </c>
      <c r="D56">
        <v>6</v>
      </c>
      <c r="E56">
        <v>2</v>
      </c>
      <c r="G56">
        <v>13</v>
      </c>
      <c r="I56" s="17" t="s">
        <v>429</v>
      </c>
      <c r="J56" s="18"/>
      <c r="K56" s="18"/>
      <c r="L56" s="18"/>
      <c r="M56" s="18"/>
      <c r="N56" s="18"/>
      <c r="O56" s="18"/>
      <c r="P56" s="18"/>
      <c r="Q56" s="18"/>
      <c r="R56" s="18"/>
      <c r="S56" s="18"/>
    </row>
    <row r="57" spans="1:32" x14ac:dyDescent="0.3">
      <c r="A57" s="5">
        <v>34</v>
      </c>
      <c r="B57">
        <v>1</v>
      </c>
      <c r="C57">
        <v>3</v>
      </c>
      <c r="D57">
        <v>2</v>
      </c>
      <c r="G57">
        <v>6</v>
      </c>
      <c r="I57" s="18"/>
      <c r="J57" s="18"/>
      <c r="K57" s="18"/>
      <c r="L57" s="18"/>
      <c r="M57" s="18"/>
      <c r="N57" s="18"/>
      <c r="O57" s="18"/>
      <c r="P57" s="18"/>
      <c r="Q57" s="18"/>
      <c r="R57" s="18"/>
      <c r="S57" s="18"/>
    </row>
    <row r="58" spans="1:32" x14ac:dyDescent="0.3">
      <c r="A58" s="5">
        <v>35</v>
      </c>
      <c r="B58">
        <v>2</v>
      </c>
      <c r="C58">
        <v>3</v>
      </c>
      <c r="D58">
        <v>3</v>
      </c>
      <c r="E58">
        <v>1</v>
      </c>
      <c r="G58">
        <v>9</v>
      </c>
      <c r="I58" s="4" t="s">
        <v>420</v>
      </c>
      <c r="J58" s="4" t="s">
        <v>416</v>
      </c>
    </row>
    <row r="59" spans="1:32" x14ac:dyDescent="0.3">
      <c r="A59" s="5">
        <v>36</v>
      </c>
      <c r="B59">
        <v>1</v>
      </c>
      <c r="C59">
        <v>3</v>
      </c>
      <c r="D59">
        <v>3</v>
      </c>
      <c r="E59">
        <v>2</v>
      </c>
      <c r="G59">
        <v>9</v>
      </c>
      <c r="I59" s="4" t="s">
        <v>413</v>
      </c>
      <c r="J59">
        <v>5</v>
      </c>
      <c r="K59">
        <v>6</v>
      </c>
      <c r="L59">
        <v>7</v>
      </c>
      <c r="M59">
        <v>8</v>
      </c>
      <c r="N59">
        <v>9</v>
      </c>
      <c r="O59">
        <v>10</v>
      </c>
      <c r="P59">
        <v>11</v>
      </c>
      <c r="Q59">
        <v>12</v>
      </c>
      <c r="R59">
        <v>13</v>
      </c>
      <c r="S59">
        <v>14</v>
      </c>
      <c r="T59">
        <v>15</v>
      </c>
      <c r="U59">
        <v>16</v>
      </c>
      <c r="V59">
        <v>17</v>
      </c>
      <c r="W59">
        <v>18</v>
      </c>
      <c r="X59">
        <v>19</v>
      </c>
      <c r="Y59">
        <v>20</v>
      </c>
      <c r="Z59">
        <v>21</v>
      </c>
      <c r="AA59">
        <v>22</v>
      </c>
      <c r="AB59">
        <v>23</v>
      </c>
      <c r="AC59">
        <v>24</v>
      </c>
      <c r="AD59">
        <v>25</v>
      </c>
      <c r="AE59" t="s">
        <v>414</v>
      </c>
      <c r="AF59" t="s">
        <v>415</v>
      </c>
    </row>
    <row r="60" spans="1:32" x14ac:dyDescent="0.3">
      <c r="A60" s="5">
        <v>37</v>
      </c>
      <c r="B60">
        <v>1</v>
      </c>
      <c r="C60">
        <v>5</v>
      </c>
      <c r="D60">
        <v>2</v>
      </c>
      <c r="E60">
        <v>1</v>
      </c>
      <c r="G60">
        <v>9</v>
      </c>
      <c r="I60" s="5" t="s">
        <v>90</v>
      </c>
      <c r="J60">
        <v>3</v>
      </c>
      <c r="L60">
        <v>1</v>
      </c>
      <c r="M60">
        <v>2</v>
      </c>
      <c r="N60">
        <v>3</v>
      </c>
      <c r="O60">
        <v>3</v>
      </c>
      <c r="P60">
        <v>1</v>
      </c>
      <c r="Q60">
        <v>1</v>
      </c>
      <c r="R60">
        <v>1</v>
      </c>
      <c r="S60">
        <v>2</v>
      </c>
      <c r="T60">
        <v>1</v>
      </c>
      <c r="U60">
        <v>1</v>
      </c>
      <c r="V60">
        <v>2</v>
      </c>
      <c r="W60">
        <v>1</v>
      </c>
      <c r="Y60">
        <v>4</v>
      </c>
      <c r="Z60">
        <v>4</v>
      </c>
      <c r="AA60">
        <v>2</v>
      </c>
      <c r="AB60">
        <v>1</v>
      </c>
      <c r="AC60">
        <v>1</v>
      </c>
      <c r="AD60">
        <v>3</v>
      </c>
      <c r="AF60">
        <v>37</v>
      </c>
    </row>
    <row r="61" spans="1:32" x14ac:dyDescent="0.3">
      <c r="A61" s="5">
        <v>38</v>
      </c>
      <c r="B61">
        <v>2</v>
      </c>
      <c r="C61">
        <v>3</v>
      </c>
      <c r="D61">
        <v>2</v>
      </c>
      <c r="E61">
        <v>4</v>
      </c>
      <c r="G61">
        <v>11</v>
      </c>
      <c r="I61" s="5" t="s">
        <v>35</v>
      </c>
      <c r="K61">
        <v>3</v>
      </c>
      <c r="M61">
        <v>2</v>
      </c>
      <c r="N61">
        <v>1</v>
      </c>
      <c r="O61">
        <v>3</v>
      </c>
      <c r="P61">
        <v>3</v>
      </c>
      <c r="R61">
        <v>3</v>
      </c>
      <c r="S61">
        <v>2</v>
      </c>
      <c r="T61">
        <v>1</v>
      </c>
      <c r="U61">
        <v>4</v>
      </c>
      <c r="V61">
        <v>1</v>
      </c>
      <c r="W61">
        <v>4</v>
      </c>
      <c r="Y61">
        <v>1</v>
      </c>
      <c r="Z61">
        <v>1</v>
      </c>
      <c r="AA61">
        <v>1</v>
      </c>
      <c r="AB61">
        <v>1</v>
      </c>
      <c r="AC61">
        <v>4</v>
      </c>
      <c r="AD61">
        <v>3</v>
      </c>
      <c r="AF61">
        <v>38</v>
      </c>
    </row>
    <row r="62" spans="1:32" x14ac:dyDescent="0.3">
      <c r="A62" s="5">
        <v>39</v>
      </c>
      <c r="B62">
        <v>7</v>
      </c>
      <c r="C62">
        <v>6</v>
      </c>
      <c r="D62">
        <v>3</v>
      </c>
      <c r="G62">
        <v>16</v>
      </c>
      <c r="I62" s="5" t="s">
        <v>46</v>
      </c>
      <c r="K62">
        <v>1</v>
      </c>
      <c r="L62">
        <v>2</v>
      </c>
      <c r="M62">
        <v>3</v>
      </c>
      <c r="N62">
        <v>6</v>
      </c>
      <c r="O62">
        <v>3</v>
      </c>
      <c r="P62">
        <v>1</v>
      </c>
      <c r="Q62">
        <v>2</v>
      </c>
      <c r="R62">
        <v>1</v>
      </c>
      <c r="S62">
        <v>3</v>
      </c>
      <c r="T62">
        <v>2</v>
      </c>
      <c r="U62">
        <v>2</v>
      </c>
      <c r="V62">
        <v>1</v>
      </c>
      <c r="W62">
        <v>2</v>
      </c>
      <c r="X62">
        <v>4</v>
      </c>
      <c r="Y62">
        <v>2</v>
      </c>
      <c r="Z62">
        <v>2</v>
      </c>
      <c r="AB62">
        <v>2</v>
      </c>
      <c r="AC62">
        <v>3</v>
      </c>
      <c r="AD62">
        <v>2</v>
      </c>
      <c r="AF62">
        <v>44</v>
      </c>
    </row>
    <row r="63" spans="1:32" x14ac:dyDescent="0.3">
      <c r="A63" s="5">
        <v>40</v>
      </c>
      <c r="B63">
        <v>4</v>
      </c>
      <c r="E63">
        <v>4</v>
      </c>
      <c r="G63">
        <v>8</v>
      </c>
      <c r="I63" s="5" t="s">
        <v>112</v>
      </c>
      <c r="J63">
        <v>3</v>
      </c>
      <c r="K63">
        <v>2</v>
      </c>
      <c r="L63">
        <v>3</v>
      </c>
      <c r="M63">
        <v>3</v>
      </c>
      <c r="N63">
        <v>1</v>
      </c>
      <c r="P63">
        <v>1</v>
      </c>
      <c r="Q63">
        <v>4</v>
      </c>
      <c r="R63">
        <v>1</v>
      </c>
      <c r="S63">
        <v>2</v>
      </c>
      <c r="T63">
        <v>2</v>
      </c>
      <c r="U63">
        <v>1</v>
      </c>
      <c r="V63">
        <v>1</v>
      </c>
      <c r="W63">
        <v>3</v>
      </c>
      <c r="X63">
        <v>2</v>
      </c>
      <c r="Y63">
        <v>4</v>
      </c>
      <c r="Z63">
        <v>1</v>
      </c>
      <c r="AA63">
        <v>1</v>
      </c>
      <c r="AB63">
        <v>2</v>
      </c>
      <c r="AC63">
        <v>2</v>
      </c>
      <c r="AD63">
        <v>2</v>
      </c>
      <c r="AF63">
        <v>41</v>
      </c>
    </row>
    <row r="64" spans="1:32" x14ac:dyDescent="0.3">
      <c r="A64" s="5">
        <v>41</v>
      </c>
      <c r="B64">
        <v>5</v>
      </c>
      <c r="C64">
        <v>7</v>
      </c>
      <c r="D64">
        <v>2</v>
      </c>
      <c r="E64">
        <v>3</v>
      </c>
      <c r="G64">
        <v>17</v>
      </c>
      <c r="I64" s="5" t="s">
        <v>73</v>
      </c>
      <c r="J64">
        <v>1</v>
      </c>
      <c r="K64">
        <v>3</v>
      </c>
      <c r="L64">
        <v>1</v>
      </c>
      <c r="M64">
        <v>1</v>
      </c>
      <c r="N64">
        <v>1</v>
      </c>
      <c r="O64">
        <v>1</v>
      </c>
      <c r="P64">
        <v>2</v>
      </c>
      <c r="Q64">
        <v>1</v>
      </c>
      <c r="R64">
        <v>3</v>
      </c>
      <c r="S64">
        <v>2</v>
      </c>
      <c r="U64">
        <v>1</v>
      </c>
      <c r="V64">
        <v>4</v>
      </c>
      <c r="X64">
        <v>4</v>
      </c>
      <c r="Y64">
        <v>1</v>
      </c>
      <c r="Z64">
        <v>4</v>
      </c>
      <c r="AA64">
        <v>2</v>
      </c>
      <c r="AB64">
        <v>2</v>
      </c>
      <c r="AC64">
        <v>1</v>
      </c>
      <c r="AD64">
        <v>3</v>
      </c>
      <c r="AF64">
        <v>38</v>
      </c>
    </row>
    <row r="65" spans="1:32" x14ac:dyDescent="0.3">
      <c r="A65" s="5">
        <v>42</v>
      </c>
      <c r="B65">
        <v>1</v>
      </c>
      <c r="C65">
        <v>5</v>
      </c>
      <c r="D65">
        <v>2</v>
      </c>
      <c r="E65">
        <v>1</v>
      </c>
      <c r="G65">
        <v>9</v>
      </c>
      <c r="I65" s="5" t="s">
        <v>22</v>
      </c>
      <c r="J65">
        <v>1</v>
      </c>
      <c r="K65">
        <v>5</v>
      </c>
      <c r="L65">
        <v>3</v>
      </c>
      <c r="M65">
        <v>3</v>
      </c>
      <c r="N65">
        <v>2</v>
      </c>
      <c r="O65">
        <v>2</v>
      </c>
      <c r="P65">
        <v>1</v>
      </c>
      <c r="Q65">
        <v>1</v>
      </c>
      <c r="R65">
        <v>2</v>
      </c>
      <c r="S65">
        <v>2</v>
      </c>
      <c r="T65">
        <v>4</v>
      </c>
      <c r="U65">
        <v>3</v>
      </c>
      <c r="V65">
        <v>1</v>
      </c>
      <c r="W65">
        <v>1</v>
      </c>
      <c r="X65">
        <v>1</v>
      </c>
      <c r="Y65">
        <v>6</v>
      </c>
      <c r="Z65">
        <v>2</v>
      </c>
      <c r="AA65">
        <v>2</v>
      </c>
      <c r="AB65">
        <v>1</v>
      </c>
      <c r="AC65">
        <v>2</v>
      </c>
      <c r="AD65">
        <v>3</v>
      </c>
      <c r="AF65">
        <v>48</v>
      </c>
    </row>
    <row r="66" spans="1:32" x14ac:dyDescent="0.3">
      <c r="A66" s="5">
        <v>43</v>
      </c>
      <c r="B66">
        <v>3</v>
      </c>
      <c r="C66">
        <v>3</v>
      </c>
      <c r="D66">
        <v>4</v>
      </c>
      <c r="E66">
        <v>2</v>
      </c>
      <c r="G66">
        <v>12</v>
      </c>
      <c r="I66" s="5" t="s">
        <v>68</v>
      </c>
      <c r="J66">
        <v>2</v>
      </c>
      <c r="L66">
        <v>3</v>
      </c>
      <c r="M66">
        <v>1</v>
      </c>
      <c r="N66">
        <v>2</v>
      </c>
      <c r="O66">
        <v>3</v>
      </c>
      <c r="P66">
        <v>1</v>
      </c>
      <c r="Q66">
        <v>4</v>
      </c>
      <c r="R66">
        <v>2</v>
      </c>
      <c r="T66">
        <v>2</v>
      </c>
      <c r="U66">
        <v>1</v>
      </c>
      <c r="V66">
        <v>3</v>
      </c>
      <c r="W66">
        <v>2</v>
      </c>
      <c r="X66">
        <v>2</v>
      </c>
      <c r="Y66">
        <v>1</v>
      </c>
      <c r="AA66">
        <v>3</v>
      </c>
      <c r="AB66">
        <v>1</v>
      </c>
      <c r="AC66">
        <v>1</v>
      </c>
      <c r="AD66">
        <v>1</v>
      </c>
      <c r="AF66">
        <v>35</v>
      </c>
    </row>
    <row r="67" spans="1:32" x14ac:dyDescent="0.3">
      <c r="A67" s="5">
        <v>44</v>
      </c>
      <c r="B67">
        <v>3</v>
      </c>
      <c r="C67">
        <v>4</v>
      </c>
      <c r="D67">
        <v>3</v>
      </c>
      <c r="E67">
        <v>5</v>
      </c>
      <c r="G67">
        <v>15</v>
      </c>
      <c r="I67" s="5" t="s">
        <v>82</v>
      </c>
      <c r="J67">
        <v>2</v>
      </c>
      <c r="K67">
        <v>2</v>
      </c>
      <c r="L67">
        <v>6</v>
      </c>
      <c r="O67">
        <v>1</v>
      </c>
      <c r="P67">
        <v>2</v>
      </c>
      <c r="Q67">
        <v>2</v>
      </c>
      <c r="R67">
        <v>1</v>
      </c>
      <c r="T67">
        <v>3</v>
      </c>
      <c r="U67">
        <v>4</v>
      </c>
      <c r="V67">
        <v>2</v>
      </c>
      <c r="W67">
        <v>1</v>
      </c>
      <c r="X67">
        <v>3</v>
      </c>
      <c r="Y67">
        <v>1</v>
      </c>
      <c r="AA67">
        <v>4</v>
      </c>
      <c r="AB67">
        <v>5</v>
      </c>
      <c r="AC67">
        <v>1</v>
      </c>
      <c r="AD67">
        <v>2</v>
      </c>
      <c r="AF67">
        <v>42</v>
      </c>
    </row>
    <row r="68" spans="1:32" x14ac:dyDescent="0.3">
      <c r="A68" s="5">
        <v>45</v>
      </c>
      <c r="B68">
        <v>2</v>
      </c>
      <c r="C68">
        <v>2</v>
      </c>
      <c r="D68">
        <v>6</v>
      </c>
      <c r="E68">
        <v>5</v>
      </c>
      <c r="G68">
        <v>15</v>
      </c>
      <c r="I68" s="5" t="s">
        <v>118</v>
      </c>
      <c r="K68">
        <v>4</v>
      </c>
      <c r="L68">
        <v>3</v>
      </c>
      <c r="M68">
        <v>4</v>
      </c>
      <c r="N68">
        <v>4</v>
      </c>
      <c r="Q68">
        <v>2</v>
      </c>
      <c r="S68">
        <v>3</v>
      </c>
      <c r="T68">
        <v>3</v>
      </c>
      <c r="U68">
        <v>1</v>
      </c>
      <c r="V68">
        <v>2</v>
      </c>
      <c r="W68">
        <v>2</v>
      </c>
      <c r="X68">
        <v>1</v>
      </c>
      <c r="Y68">
        <v>2</v>
      </c>
      <c r="Z68">
        <v>1</v>
      </c>
      <c r="AA68">
        <v>1</v>
      </c>
      <c r="AB68">
        <v>1</v>
      </c>
      <c r="AC68">
        <v>2</v>
      </c>
      <c r="AD68">
        <v>4</v>
      </c>
      <c r="AF68">
        <v>40</v>
      </c>
    </row>
    <row r="69" spans="1:32" x14ac:dyDescent="0.3">
      <c r="A69" s="5">
        <v>46</v>
      </c>
      <c r="B69">
        <v>2</v>
      </c>
      <c r="C69">
        <v>4</v>
      </c>
      <c r="D69">
        <v>3</v>
      </c>
      <c r="E69">
        <v>1</v>
      </c>
      <c r="G69">
        <v>10</v>
      </c>
      <c r="I69" s="5" t="s">
        <v>61</v>
      </c>
      <c r="J69">
        <v>3</v>
      </c>
      <c r="K69">
        <v>4</v>
      </c>
      <c r="L69">
        <v>3</v>
      </c>
      <c r="N69">
        <v>5</v>
      </c>
      <c r="P69">
        <v>3</v>
      </c>
      <c r="Q69">
        <v>2</v>
      </c>
      <c r="S69">
        <v>1</v>
      </c>
      <c r="T69">
        <v>3</v>
      </c>
      <c r="U69">
        <v>1</v>
      </c>
      <c r="V69">
        <v>2</v>
      </c>
      <c r="W69">
        <v>1</v>
      </c>
      <c r="X69">
        <v>1</v>
      </c>
      <c r="Y69">
        <v>1</v>
      </c>
      <c r="Z69">
        <v>1</v>
      </c>
      <c r="AA69">
        <v>2</v>
      </c>
      <c r="AB69">
        <v>1</v>
      </c>
      <c r="AC69">
        <v>2</v>
      </c>
      <c r="AD69">
        <v>1</v>
      </c>
      <c r="AF69">
        <v>37</v>
      </c>
    </row>
    <row r="70" spans="1:32" x14ac:dyDescent="0.3">
      <c r="A70" s="5">
        <v>47</v>
      </c>
      <c r="B70">
        <v>2</v>
      </c>
      <c r="C70">
        <v>2</v>
      </c>
      <c r="D70">
        <v>3</v>
      </c>
      <c r="E70">
        <v>1</v>
      </c>
      <c r="G70">
        <v>8</v>
      </c>
      <c r="I70" s="5" t="s">
        <v>414</v>
      </c>
    </row>
    <row r="71" spans="1:32" x14ac:dyDescent="0.3">
      <c r="A71" s="5">
        <v>48</v>
      </c>
      <c r="B71">
        <v>1</v>
      </c>
      <c r="C71">
        <v>1</v>
      </c>
      <c r="D71">
        <v>3</v>
      </c>
      <c r="E71">
        <v>5</v>
      </c>
      <c r="G71">
        <v>10</v>
      </c>
      <c r="I71" s="5" t="s">
        <v>415</v>
      </c>
      <c r="J71">
        <v>15</v>
      </c>
      <c r="K71">
        <v>24</v>
      </c>
      <c r="L71">
        <v>25</v>
      </c>
      <c r="M71">
        <v>19</v>
      </c>
      <c r="N71">
        <v>25</v>
      </c>
      <c r="O71">
        <v>16</v>
      </c>
      <c r="P71">
        <v>15</v>
      </c>
      <c r="Q71">
        <v>19</v>
      </c>
      <c r="R71">
        <v>14</v>
      </c>
      <c r="S71">
        <v>17</v>
      </c>
      <c r="T71">
        <v>21</v>
      </c>
      <c r="U71">
        <v>19</v>
      </c>
      <c r="V71">
        <v>19</v>
      </c>
      <c r="W71">
        <v>17</v>
      </c>
      <c r="X71">
        <v>18</v>
      </c>
      <c r="Y71">
        <v>23</v>
      </c>
      <c r="Z71">
        <v>16</v>
      </c>
      <c r="AA71">
        <v>18</v>
      </c>
      <c r="AB71">
        <v>17</v>
      </c>
      <c r="AC71">
        <v>19</v>
      </c>
      <c r="AD71">
        <v>24</v>
      </c>
      <c r="AF71">
        <v>400</v>
      </c>
    </row>
    <row r="72" spans="1:32" x14ac:dyDescent="0.3">
      <c r="A72" s="5">
        <v>49</v>
      </c>
      <c r="B72">
        <v>3</v>
      </c>
      <c r="C72">
        <v>6</v>
      </c>
      <c r="D72">
        <v>7</v>
      </c>
      <c r="E72">
        <v>2</v>
      </c>
      <c r="G72">
        <v>18</v>
      </c>
    </row>
    <row r="73" spans="1:32" x14ac:dyDescent="0.3">
      <c r="A73" s="5">
        <v>50</v>
      </c>
      <c r="B73">
        <v>3</v>
      </c>
      <c r="C73">
        <v>4</v>
      </c>
      <c r="D73">
        <v>3</v>
      </c>
      <c r="E73">
        <v>4</v>
      </c>
      <c r="G73">
        <v>14</v>
      </c>
      <c r="I73" s="17" t="s">
        <v>430</v>
      </c>
      <c r="J73" s="17"/>
      <c r="K73" s="17"/>
      <c r="L73" s="17"/>
      <c r="M73" s="17"/>
      <c r="N73" s="17"/>
      <c r="O73" s="17"/>
      <c r="P73" s="17"/>
      <c r="Q73" s="17"/>
      <c r="R73" s="17"/>
      <c r="S73" s="17"/>
      <c r="T73" s="17"/>
    </row>
    <row r="74" spans="1:32" x14ac:dyDescent="0.3">
      <c r="A74" s="5">
        <v>51</v>
      </c>
      <c r="B74">
        <v>2</v>
      </c>
      <c r="C74">
        <v>2</v>
      </c>
      <c r="D74">
        <v>3</v>
      </c>
      <c r="E74">
        <v>1</v>
      </c>
      <c r="G74">
        <v>8</v>
      </c>
      <c r="I74" s="17"/>
      <c r="J74" s="17"/>
      <c r="K74" s="17"/>
      <c r="L74" s="17"/>
      <c r="M74" s="17"/>
      <c r="N74" s="17"/>
      <c r="O74" s="17"/>
      <c r="P74" s="17"/>
      <c r="Q74" s="17"/>
      <c r="R74" s="17"/>
      <c r="S74" s="17"/>
      <c r="T74" s="17"/>
    </row>
    <row r="75" spans="1:32" x14ac:dyDescent="0.3">
      <c r="A75" s="5">
        <v>52</v>
      </c>
      <c r="B75">
        <v>3</v>
      </c>
      <c r="C75">
        <v>3</v>
      </c>
      <c r="D75">
        <v>4</v>
      </c>
      <c r="E75">
        <v>3</v>
      </c>
      <c r="G75">
        <v>13</v>
      </c>
      <c r="J75" s="4" t="s">
        <v>416</v>
      </c>
    </row>
    <row r="76" spans="1:32" x14ac:dyDescent="0.3">
      <c r="A76" s="5">
        <v>53</v>
      </c>
      <c r="B76">
        <v>3</v>
      </c>
      <c r="D76">
        <v>2</v>
      </c>
      <c r="E76">
        <v>2</v>
      </c>
      <c r="G76">
        <v>7</v>
      </c>
      <c r="J76">
        <v>702000</v>
      </c>
      <c r="K76">
        <v>756000</v>
      </c>
      <c r="L76">
        <v>846000</v>
      </c>
      <c r="M76">
        <v>936000</v>
      </c>
      <c r="N76">
        <v>1098000</v>
      </c>
      <c r="O76">
        <v>1224000</v>
      </c>
      <c r="P76">
        <v>1350000</v>
      </c>
      <c r="Q76">
        <v>1764000</v>
      </c>
      <c r="R76">
        <v>2250000</v>
      </c>
      <c r="S76">
        <v>5760000</v>
      </c>
      <c r="T76" t="s">
        <v>414</v>
      </c>
      <c r="U76" t="s">
        <v>415</v>
      </c>
    </row>
    <row r="77" spans="1:32" x14ac:dyDescent="0.3">
      <c r="A77" s="5">
        <v>54</v>
      </c>
      <c r="C77">
        <v>3</v>
      </c>
      <c r="D77">
        <v>1</v>
      </c>
      <c r="G77">
        <v>4</v>
      </c>
      <c r="I77" t="s">
        <v>421</v>
      </c>
      <c r="J77">
        <v>37</v>
      </c>
      <c r="K77">
        <v>48</v>
      </c>
      <c r="L77">
        <v>35</v>
      </c>
      <c r="M77">
        <v>41</v>
      </c>
      <c r="N77">
        <v>42</v>
      </c>
      <c r="O77">
        <v>38</v>
      </c>
      <c r="P77">
        <v>40</v>
      </c>
      <c r="Q77">
        <v>38</v>
      </c>
      <c r="R77">
        <v>37</v>
      </c>
      <c r="S77">
        <v>44</v>
      </c>
      <c r="U77">
        <v>400</v>
      </c>
    </row>
    <row r="78" spans="1:32" x14ac:dyDescent="0.3">
      <c r="A78" s="5">
        <v>55</v>
      </c>
      <c r="B78">
        <v>2</v>
      </c>
      <c r="C78">
        <v>3</v>
      </c>
      <c r="D78">
        <v>3</v>
      </c>
      <c r="E78">
        <v>2</v>
      </c>
      <c r="G78">
        <v>10</v>
      </c>
    </row>
    <row r="79" spans="1:32" x14ac:dyDescent="0.3">
      <c r="A79" s="5">
        <v>56</v>
      </c>
      <c r="B79">
        <v>3</v>
      </c>
      <c r="C79">
        <v>6</v>
      </c>
      <c r="D79">
        <v>6</v>
      </c>
      <c r="E79">
        <v>2</v>
      </c>
      <c r="G79">
        <v>17</v>
      </c>
    </row>
    <row r="80" spans="1:32" x14ac:dyDescent="0.3">
      <c r="A80" s="5">
        <v>57</v>
      </c>
      <c r="B80">
        <v>4</v>
      </c>
      <c r="C80">
        <v>1</v>
      </c>
      <c r="D80">
        <v>1</v>
      </c>
      <c r="G80">
        <v>6</v>
      </c>
    </row>
    <row r="81" spans="1:17" x14ac:dyDescent="0.3">
      <c r="A81" s="5">
        <v>58</v>
      </c>
      <c r="B81">
        <v>4</v>
      </c>
      <c r="C81">
        <v>1</v>
      </c>
      <c r="D81">
        <v>2</v>
      </c>
      <c r="E81">
        <v>3</v>
      </c>
      <c r="G81">
        <v>10</v>
      </c>
      <c r="I81" s="4" t="s">
        <v>418</v>
      </c>
      <c r="J81" s="4" t="s">
        <v>416</v>
      </c>
    </row>
    <row r="82" spans="1:17" x14ac:dyDescent="0.3">
      <c r="A82" s="5">
        <v>59</v>
      </c>
      <c r="B82">
        <v>5</v>
      </c>
      <c r="C82">
        <v>3</v>
      </c>
      <c r="D82">
        <v>2</v>
      </c>
      <c r="E82">
        <v>1</v>
      </c>
      <c r="G82">
        <v>11</v>
      </c>
      <c r="I82" s="4" t="s">
        <v>413</v>
      </c>
      <c r="J82" t="s">
        <v>69</v>
      </c>
      <c r="K82" t="s">
        <v>25</v>
      </c>
      <c r="L82" t="s">
        <v>75</v>
      </c>
      <c r="M82" t="s">
        <v>106</v>
      </c>
      <c r="N82" t="s">
        <v>38</v>
      </c>
      <c r="O82" t="s">
        <v>64</v>
      </c>
      <c r="P82" t="s">
        <v>57</v>
      </c>
      <c r="Q82" t="s">
        <v>415</v>
      </c>
    </row>
    <row r="83" spans="1:17" x14ac:dyDescent="0.3">
      <c r="A83" s="5">
        <v>60</v>
      </c>
      <c r="B83">
        <v>3</v>
      </c>
      <c r="C83">
        <v>3</v>
      </c>
      <c r="D83">
        <v>1</v>
      </c>
      <c r="E83">
        <v>2</v>
      </c>
      <c r="G83">
        <v>9</v>
      </c>
      <c r="I83" s="5" t="s">
        <v>90</v>
      </c>
      <c r="J83" s="22">
        <v>6</v>
      </c>
      <c r="K83" s="22">
        <v>13</v>
      </c>
      <c r="L83" s="22">
        <v>3</v>
      </c>
      <c r="M83" s="22">
        <v>4</v>
      </c>
      <c r="N83" s="22">
        <v>2</v>
      </c>
      <c r="O83" s="22">
        <v>5</v>
      </c>
      <c r="P83" s="22">
        <v>4</v>
      </c>
      <c r="Q83" s="22">
        <v>37</v>
      </c>
    </row>
    <row r="84" spans="1:17" x14ac:dyDescent="0.3">
      <c r="A84" s="5" t="s">
        <v>414</v>
      </c>
      <c r="I84" s="5" t="s">
        <v>35</v>
      </c>
      <c r="J84" s="22">
        <v>3</v>
      </c>
      <c r="K84" s="22">
        <v>8</v>
      </c>
      <c r="L84" s="22">
        <v>4</v>
      </c>
      <c r="M84" s="22">
        <v>8</v>
      </c>
      <c r="N84" s="22">
        <v>4</v>
      </c>
      <c r="O84" s="22">
        <v>6</v>
      </c>
      <c r="P84" s="22">
        <v>5</v>
      </c>
      <c r="Q84" s="22">
        <v>38</v>
      </c>
    </row>
    <row r="85" spans="1:17" x14ac:dyDescent="0.3">
      <c r="A85" s="5" t="s">
        <v>415</v>
      </c>
      <c r="B85">
        <v>101</v>
      </c>
      <c r="C85">
        <v>104</v>
      </c>
      <c r="D85">
        <v>105</v>
      </c>
      <c r="E85">
        <v>90</v>
      </c>
      <c r="G85">
        <v>400</v>
      </c>
      <c r="I85" s="5" t="s">
        <v>46</v>
      </c>
      <c r="J85" s="22">
        <v>4</v>
      </c>
      <c r="K85" s="22">
        <v>15</v>
      </c>
      <c r="L85" s="22">
        <v>3</v>
      </c>
      <c r="M85" s="22">
        <v>10</v>
      </c>
      <c r="N85" s="22">
        <v>3</v>
      </c>
      <c r="O85" s="22">
        <v>6</v>
      </c>
      <c r="P85" s="22">
        <v>3</v>
      </c>
      <c r="Q85" s="22">
        <v>44</v>
      </c>
    </row>
    <row r="86" spans="1:17" x14ac:dyDescent="0.3">
      <c r="I86" s="5" t="s">
        <v>112</v>
      </c>
      <c r="J86" s="22">
        <v>6</v>
      </c>
      <c r="K86" s="22">
        <v>15</v>
      </c>
      <c r="L86" s="22">
        <v>2</v>
      </c>
      <c r="M86" s="22">
        <v>4</v>
      </c>
      <c r="N86" s="22">
        <v>5</v>
      </c>
      <c r="O86" s="22">
        <v>1</v>
      </c>
      <c r="P86" s="22">
        <v>8</v>
      </c>
      <c r="Q86" s="22">
        <v>41</v>
      </c>
    </row>
    <row r="87" spans="1:17" x14ac:dyDescent="0.3">
      <c r="I87" s="5" t="s">
        <v>73</v>
      </c>
      <c r="J87" s="22">
        <v>4</v>
      </c>
      <c r="K87" s="22">
        <v>9</v>
      </c>
      <c r="L87" s="22">
        <v>7</v>
      </c>
      <c r="M87" s="22">
        <v>7</v>
      </c>
      <c r="N87" s="22">
        <v>2</v>
      </c>
      <c r="O87" s="22">
        <v>4</v>
      </c>
      <c r="P87" s="22">
        <v>5</v>
      </c>
      <c r="Q87" s="22">
        <v>38</v>
      </c>
    </row>
    <row r="88" spans="1:17" x14ac:dyDescent="0.3">
      <c r="A88" t="s">
        <v>449</v>
      </c>
      <c r="I88" s="5" t="s">
        <v>22</v>
      </c>
      <c r="J88" s="22">
        <v>3</v>
      </c>
      <c r="K88" s="22">
        <v>9</v>
      </c>
      <c r="L88" s="22">
        <v>6</v>
      </c>
      <c r="M88" s="22">
        <v>13</v>
      </c>
      <c r="N88" s="22">
        <v>4</v>
      </c>
      <c r="O88" s="22">
        <v>7</v>
      </c>
      <c r="P88" s="22">
        <v>6</v>
      </c>
      <c r="Q88" s="22">
        <v>48</v>
      </c>
    </row>
    <row r="89" spans="1:17" x14ac:dyDescent="0.3">
      <c r="A89">
        <v>4392640587</v>
      </c>
      <c r="I89" s="5" t="s">
        <v>68</v>
      </c>
      <c r="J89" s="22">
        <v>3</v>
      </c>
      <c r="K89" s="22">
        <v>8</v>
      </c>
      <c r="L89" s="22">
        <v>2</v>
      </c>
      <c r="M89" s="22">
        <v>11</v>
      </c>
      <c r="N89" s="22">
        <v>7</v>
      </c>
      <c r="O89" s="22">
        <v>1</v>
      </c>
      <c r="P89" s="22">
        <v>3</v>
      </c>
      <c r="Q89" s="22">
        <v>35</v>
      </c>
    </row>
    <row r="90" spans="1:17" x14ac:dyDescent="0.3">
      <c r="I90" s="5" t="s">
        <v>82</v>
      </c>
      <c r="J90" s="22">
        <v>7</v>
      </c>
      <c r="K90" s="22">
        <v>11</v>
      </c>
      <c r="L90" s="22">
        <v>5</v>
      </c>
      <c r="M90" s="22">
        <v>7</v>
      </c>
      <c r="N90" s="22">
        <v>5</v>
      </c>
      <c r="O90" s="22">
        <v>3</v>
      </c>
      <c r="P90" s="22">
        <v>4</v>
      </c>
      <c r="Q90" s="22">
        <v>42</v>
      </c>
    </row>
    <row r="91" spans="1:17" x14ac:dyDescent="0.3">
      <c r="A91" s="4" t="s">
        <v>413</v>
      </c>
      <c r="B91" t="s">
        <v>417</v>
      </c>
      <c r="I91" s="5" t="s">
        <v>118</v>
      </c>
      <c r="J91" s="22">
        <v>3</v>
      </c>
      <c r="K91" s="22">
        <v>12</v>
      </c>
      <c r="L91" s="22">
        <v>2</v>
      </c>
      <c r="M91" s="22">
        <v>7</v>
      </c>
      <c r="N91" s="22">
        <v>4</v>
      </c>
      <c r="O91" s="22">
        <v>7</v>
      </c>
      <c r="P91" s="22">
        <v>5</v>
      </c>
      <c r="Q91" s="22">
        <v>40</v>
      </c>
    </row>
    <row r="92" spans="1:17" x14ac:dyDescent="0.3">
      <c r="A92" s="5" t="s">
        <v>453</v>
      </c>
      <c r="B92" s="22">
        <v>29</v>
      </c>
      <c r="I92" s="5" t="s">
        <v>61</v>
      </c>
      <c r="J92" s="22">
        <v>1</v>
      </c>
      <c r="K92" s="22">
        <v>12</v>
      </c>
      <c r="L92" s="22">
        <v>4</v>
      </c>
      <c r="M92" s="22">
        <v>8</v>
      </c>
      <c r="N92" s="22">
        <v>5</v>
      </c>
      <c r="O92" s="22">
        <v>3</v>
      </c>
      <c r="P92" s="22">
        <v>4</v>
      </c>
      <c r="Q92" s="22">
        <v>37</v>
      </c>
    </row>
    <row r="93" spans="1:17" x14ac:dyDescent="0.3">
      <c r="A93" s="5" t="s">
        <v>451</v>
      </c>
      <c r="B93" s="22">
        <v>75</v>
      </c>
      <c r="I93" s="5" t="s">
        <v>415</v>
      </c>
      <c r="J93" s="22">
        <v>40</v>
      </c>
      <c r="K93" s="22">
        <v>112</v>
      </c>
      <c r="L93" s="22">
        <v>38</v>
      </c>
      <c r="M93" s="22">
        <v>79</v>
      </c>
      <c r="N93" s="22">
        <v>41</v>
      </c>
      <c r="O93" s="22">
        <v>43</v>
      </c>
      <c r="P93" s="22">
        <v>47</v>
      </c>
      <c r="Q93" s="22">
        <v>400</v>
      </c>
    </row>
    <row r="94" spans="1:17" x14ac:dyDescent="0.3">
      <c r="A94" s="5" t="s">
        <v>450</v>
      </c>
      <c r="B94" s="22">
        <v>252</v>
      </c>
    </row>
    <row r="95" spans="1:17" x14ac:dyDescent="0.3">
      <c r="A95" s="5" t="s">
        <v>452</v>
      </c>
      <c r="B95" s="22">
        <v>44</v>
      </c>
    </row>
    <row r="96" spans="1:17" x14ac:dyDescent="0.3">
      <c r="A96" s="5" t="s">
        <v>415</v>
      </c>
      <c r="B96" s="22">
        <v>400</v>
      </c>
    </row>
    <row r="100" spans="1:3" x14ac:dyDescent="0.3">
      <c r="A100" s="6"/>
      <c r="B100" s="7"/>
      <c r="C100" s="8"/>
    </row>
    <row r="101" spans="1:3" x14ac:dyDescent="0.3">
      <c r="A101" s="9"/>
      <c r="B101" s="10"/>
      <c r="C101" s="11"/>
    </row>
    <row r="102" spans="1:3" x14ac:dyDescent="0.3">
      <c r="A102" s="9"/>
      <c r="B102" s="10"/>
      <c r="C102" s="11"/>
    </row>
    <row r="103" spans="1:3" x14ac:dyDescent="0.3">
      <c r="A103" s="9"/>
      <c r="B103" s="10"/>
      <c r="C103" s="11"/>
    </row>
    <row r="104" spans="1:3" x14ac:dyDescent="0.3">
      <c r="A104" s="9"/>
      <c r="B104" s="10"/>
      <c r="C104" s="11"/>
    </row>
    <row r="105" spans="1:3" x14ac:dyDescent="0.3">
      <c r="A105" s="9"/>
      <c r="B105" s="10"/>
      <c r="C105" s="11"/>
    </row>
    <row r="106" spans="1:3" x14ac:dyDescent="0.3">
      <c r="A106" s="9"/>
      <c r="B106" s="10"/>
      <c r="C106" s="11"/>
    </row>
    <row r="107" spans="1:3" x14ac:dyDescent="0.3">
      <c r="A107" s="9"/>
      <c r="B107" s="10"/>
      <c r="C107" s="11"/>
    </row>
    <row r="108" spans="1:3" x14ac:dyDescent="0.3">
      <c r="A108" s="9"/>
      <c r="B108" s="10"/>
      <c r="C108" s="11"/>
    </row>
    <row r="109" spans="1:3" x14ac:dyDescent="0.3">
      <c r="A109" s="9"/>
      <c r="B109" s="10"/>
      <c r="C109" s="11"/>
    </row>
    <row r="110" spans="1:3" x14ac:dyDescent="0.3">
      <c r="A110" s="9"/>
      <c r="B110" s="10"/>
      <c r="C110" s="11"/>
    </row>
    <row r="111" spans="1:3" x14ac:dyDescent="0.3">
      <c r="A111" s="9"/>
      <c r="B111" s="10"/>
      <c r="C111" s="11"/>
    </row>
    <row r="112" spans="1:3" x14ac:dyDescent="0.3">
      <c r="A112" s="9"/>
      <c r="B112" s="10"/>
      <c r="C112" s="11"/>
    </row>
    <row r="113" spans="1:3" x14ac:dyDescent="0.3">
      <c r="A113" s="9"/>
      <c r="B113" s="10"/>
      <c r="C113" s="11"/>
    </row>
    <row r="114" spans="1:3" x14ac:dyDescent="0.3">
      <c r="A114" s="9"/>
      <c r="B114" s="10"/>
      <c r="C114" s="11"/>
    </row>
    <row r="115" spans="1:3" x14ac:dyDescent="0.3">
      <c r="A115" s="9"/>
      <c r="B115" s="10"/>
      <c r="C115" s="11"/>
    </row>
    <row r="116" spans="1:3" x14ac:dyDescent="0.3">
      <c r="A116" s="9"/>
      <c r="B116" s="10"/>
      <c r="C116" s="11"/>
    </row>
    <row r="117" spans="1:3" x14ac:dyDescent="0.3">
      <c r="A117" s="12"/>
      <c r="B117" s="13"/>
      <c r="C117" s="14"/>
    </row>
  </sheetData>
  <mergeCells count="9">
    <mergeCell ref="I56:S57"/>
    <mergeCell ref="I73:T74"/>
    <mergeCell ref="A3:E3"/>
    <mergeCell ref="A2:E2"/>
    <mergeCell ref="G2:Q3"/>
    <mergeCell ref="G15:N16"/>
    <mergeCell ref="G28:N29"/>
    <mergeCell ref="A44:G45"/>
    <mergeCell ref="I44:O45"/>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D16"/>
  <sheetViews>
    <sheetView workbookViewId="0">
      <selection activeCell="C15" sqref="C15"/>
    </sheetView>
  </sheetViews>
  <sheetFormatPr defaultRowHeight="14.4" x14ac:dyDescent="0.3"/>
  <cols>
    <col min="2" max="2" width="18.33203125" customWidth="1"/>
    <col min="3" max="3" width="49.88671875" customWidth="1"/>
    <col min="4" max="4" width="19" customWidth="1"/>
  </cols>
  <sheetData>
    <row r="2" spans="1:4" x14ac:dyDescent="0.3">
      <c r="A2">
        <v>1</v>
      </c>
      <c r="B2" t="s">
        <v>431</v>
      </c>
      <c r="C2" t="s">
        <v>432</v>
      </c>
    </row>
    <row r="3" spans="1:4" x14ac:dyDescent="0.3">
      <c r="B3" t="s">
        <v>433</v>
      </c>
      <c r="C3" t="s">
        <v>434</v>
      </c>
      <c r="D3" t="str">
        <f>VLOOKUP('clean dataset'!A6,'clean dataset'!A:B,2,FALSE)</f>
        <v>Riya Kapoor</v>
      </c>
    </row>
    <row r="4" spans="1:4" x14ac:dyDescent="0.3">
      <c r="B4" t="s">
        <v>435</v>
      </c>
      <c r="C4" t="s">
        <v>436</v>
      </c>
      <c r="D4" t="str">
        <f>VLOOKUP('clean dataset'!A225,'clean dataset'!A:B,2,FALSE)</f>
        <v>Pooja Malhotra</v>
      </c>
    </row>
    <row r="6" spans="1:4" x14ac:dyDescent="0.3">
      <c r="A6">
        <v>2</v>
      </c>
      <c r="B6" t="s">
        <v>437</v>
      </c>
    </row>
    <row r="7" spans="1:4" x14ac:dyDescent="0.3">
      <c r="B7" t="s">
        <v>433</v>
      </c>
      <c r="C7" t="s">
        <v>434</v>
      </c>
      <c r="D7" t="str">
        <f>INDEX('clean dataset'!B:B,MATCH('clean dataset'!A6,'clean dataset'!A:A,0))</f>
        <v>Riya Kapoor</v>
      </c>
    </row>
    <row r="8" spans="1:4" x14ac:dyDescent="0.3">
      <c r="B8" t="s">
        <v>438</v>
      </c>
      <c r="C8" t="s">
        <v>439</v>
      </c>
      <c r="D8" t="str">
        <f>INDEX('clean dataset'!E:E,MATCH('clean dataset'!B6,'clean dataset'!B:B,0))</f>
        <v>S-Class</v>
      </c>
    </row>
    <row r="10" spans="1:4" x14ac:dyDescent="0.3">
      <c r="A10">
        <v>3</v>
      </c>
      <c r="B10" t="s">
        <v>440</v>
      </c>
      <c r="C10" t="s">
        <v>441</v>
      </c>
    </row>
    <row r="11" spans="1:4" x14ac:dyDescent="0.3">
      <c r="C11" t="s">
        <v>444</v>
      </c>
    </row>
    <row r="12" spans="1:4" x14ac:dyDescent="0.3">
      <c r="C12" t="s">
        <v>443</v>
      </c>
    </row>
    <row r="14" spans="1:4" x14ac:dyDescent="0.3">
      <c r="A14">
        <v>4</v>
      </c>
      <c r="B14" t="s">
        <v>445</v>
      </c>
      <c r="C14" t="s">
        <v>441</v>
      </c>
    </row>
    <row r="15" spans="1:4" x14ac:dyDescent="0.3">
      <c r="C15" t="s">
        <v>448</v>
      </c>
    </row>
    <row r="16" spans="1:4" x14ac:dyDescent="0.3">
      <c r="C16" t="s">
        <v>447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tabSelected="1" workbookViewId="0">
      <selection activeCell="U23" sqref="U23"/>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dataset</vt:lpstr>
      <vt:lpstr>pivot tables</vt:lpstr>
      <vt:lpstr>advanced formulas</vt:lpstr>
      <vt:lpstr>dashboard </vt:lpstr>
      <vt:lpstr>Report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tanishjain06102005@gmail.com</cp:lastModifiedBy>
  <dcterms:created xsi:type="dcterms:W3CDTF">2026-02-07T12:21:09Z</dcterms:created>
  <dcterms:modified xsi:type="dcterms:W3CDTF">2026-02-19T05:11:40Z</dcterms:modified>
</cp:coreProperties>
</file>